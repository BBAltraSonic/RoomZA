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54bab6e9c149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f948e17e992b4b00"/>
    <x:sheet xmlns:r="http://schemas.openxmlformats.org/officeDocument/2006/relationships" name="Calendar" sheetId="2" r:id="R92c2dc1269c84763"/>
    <x:sheet xmlns:r="http://schemas.openxmlformats.org/officeDocument/2006/relationships" name="Owners" sheetId="3" r:id="R6884f663aaf44238"/>
    <x:sheet xmlns:r="http://schemas.openxmlformats.org/officeDocument/2006/relationships" name="Enquiries" sheetId="4" r:id="Ra41155feb7d744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 mmm yyyy"/>
    <x:numFmt numFmtId="201" formatCode="0"/>
    <x:numFmt numFmtId="202" formatCode="&quot;R&quot;#,##0.00"/>
  </x:numFmts>
  <x:fonts count="4">
    <x:font>
      <x:sz val="11"/>
      <x:name val="Carlito"/>
    </x:font>
    <x:font>
      <x:sz val="11"/>
      <x:color rgb="FF151A24"/>
      <x:name val="Arial"/>
    </x:font>
    <x:font>
      <x:b/>
      <x:sz val="16"/>
      <x:color rgb="FF151A24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0CB"/>
      </x:patternFill>
    </x:fill>
    <x:fill>
      <x:patternFill patternType="solid">
        <x:fgColor rgb="FF151A24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D89B23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9A2727"/>
      </x:font>
      <x:fill>
        <x:patternFill patternType="solid">
          <x:bgColor rgb="FFFCE1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f458b2f3d9421f" /><Relationship Type="http://schemas.openxmlformats.org/officeDocument/2006/relationships/theme" Target="/xl/theme/theme1.xml" Id="Rbbbf9c5e4e5e49c3" /><Relationship Type="http://schemas.openxmlformats.org/officeDocument/2006/relationships/sharedStrings" Target="/xl/sharedStrings.xml" Id="R048f0ab285564e45" /><Relationship Type="http://schemas.openxmlformats.org/officeDocument/2006/relationships/worksheet" Target="/xl/worksheets/sheet1.xml" Id="Rf948e17e992b4b00" /><Relationship Type="http://schemas.openxmlformats.org/officeDocument/2006/relationships/worksheet" Target="/xl/worksheets/sheet2.xml" Id="R92c2dc1269c84763" /><Relationship Type="http://schemas.openxmlformats.org/officeDocument/2006/relationships/worksheet" Target="/xl/worksheets/sheet3.xml" Id="R6884f663aaf44238" /><Relationship Type="http://schemas.openxmlformats.org/officeDocument/2006/relationships/worksheet" Target="/xl/worksheets/sheet4.xml" Id="Ra41155feb7d744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51A24"/>
  </x:sheetPr>
  <x:sheetViews>
    <x:sheetView showGridLines="0" workbookViewId="0"/>
  </x:sheetViews>
  <x:sheetFormatPr defaultRowHeight="15"/>
  <x:cols>
    <x:col min="2" max="2" width="43" hidden="0" customWidth="1"/>
    <x:col min="3" max="3" width="20" hidden="0" customWidth="1"/>
    <x:col min="4" max="4" width="37" hidden="0" customWidth="1"/>
    <x:col min="5" max="5" width="21" hidden="0" customWidth="1"/>
    <x:col min="6" max="6" width="29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</x:cols>
  <x:sheetData>
    <x:row r="2" ht="23" customHeight="1">
      <x:c r="B2" s="3" t="str">
        <x:v>Western Cape campaign results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t="23" customHeight="1"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</x:row>
    <x:row r="4" ht="23" customHeight="1">
      <x:c r="B4" s="2" t="str">
        <x:v>Preparation ad budget (ZAR)</x:v>
      </x:c>
      <x:c r="C4" s="18" t="n">
        <x:v>0</x:v>
      </x:c>
      <x:c r="D4" s="2"/>
      <x:c r="E4" s="2"/>
      <x:c r="F4" s="2" t="str">
        <x:v>Owner conversations</x:v>
      </x:c>
      <x:c r="G4" s="2" t="str">
        <x:f>IF($C$7&lt;&gt;"Yes","Not recorded",SUM(Owners!H9:H68))</x:f>
        <x:v>Not recorded</x:v>
      </x:c>
      <x:c r="H4" s="2"/>
      <x:c r="I4" s="2"/>
      <x:c r="J4" s="2" t="str">
        <x:v>Pilot town / suburb</x:v>
      </x:c>
      <x:c r="K4" s="5"/>
      <x:c r="L4" s="2"/>
      <x:c r="M4" s="2"/>
    </x:row>
    <x:row r="5" ht="23" customHeight="1">
      <x:c r="B5" s="2" t="str">
        <x:v>Future all-in ad cap (ZAR)</x:v>
      </x:c>
      <x:c r="C5" s="18" t="n">
        <x:v>750</x:v>
      </x:c>
      <x:c r="D5" s="2"/>
      <x:c r="E5" s="2"/>
      <x:c r="F5" s="2" t="str">
        <x:v>Participating owners</x:v>
      </x:c>
      <x:c r="G5" s="2" t="str">
        <x:f>IF($C$7&lt;&gt;"Yes","Not recorded",SUM(Owners!I9:I68))</x:f>
        <x:v>Not recorded</x:v>
      </x:c>
      <x:c r="H5" s="2"/>
      <x:c r="I5" s="2"/>
      <x:c r="J5" s="2"/>
      <x:c r="K5" s="2"/>
      <x:c r="L5" s="2"/>
      <x:c r="M5" s="2"/>
    </x:row>
    <x:row r="6" ht="23" customHeight="1">
      <x:c r="B6" s="2" t="str">
        <x:v>First tranche review (ZAR)</x:v>
      </x:c>
      <x:c r="C6" s="18" t="n">
        <x:v>375</x:v>
      </x:c>
      <x:c r="D6" s="2"/>
      <x:c r="E6" s="2"/>
      <x:c r="F6" s="2" t="str">
        <x:v>Qualified enquiries</x:v>
      </x:c>
      <x:c r="G6" s="2" t="str">
        <x:f>IF($C$7&lt;&gt;"Yes","Not recorded",SUM(Enquiries!M9:M108))</x:f>
        <x:v>Not recorded</x:v>
      </x:c>
      <x:c r="H6" s="2"/>
      <x:c r="I6" s="2"/>
      <x:c r="J6" s="2"/>
      <x:c r="K6" s="2"/>
      <x:c r="L6" s="2"/>
      <x:c r="M6" s="2"/>
    </x:row>
    <x:row r="7" ht="23" customHeight="1">
      <x:c r="B7" s="2" t="str">
        <x:v>Logging started?</x:v>
      </x:c>
      <x:c r="C7" s="5" t="str">
        <x:v>No</x:v>
      </x:c>
      <x:c r="D7" s="2"/>
      <x:c r="E7" s="2"/>
      <x:c r="F7" s="2" t="str">
        <x:v>Paid attributed enquiries</x:v>
      </x:c>
      <x:c r="G7" s="2" t="str">
        <x:f>IF($C$7&lt;&gt;"Yes","Not recorded",SUM(Enquiries!N9:N108))</x:f>
        <x:v>Not recorded</x:v>
      </x:c>
      <x:c r="H7" s="2"/>
      <x:c r="I7" s="2"/>
      <x:c r="J7" s="2"/>
      <x:c r="K7" s="2"/>
      <x:c r="L7" s="2"/>
      <x:c r="M7" s="2"/>
    </x:row>
    <x:row r="8" ht="34" customHeight="1">
      <x:c r="B8" s="2" t="str">
        <x:v>Amber = editable inputs. Leave unmeasured actuals blank; enter a measured zero when appropriate.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</x:row>
    <x:row r="9" ht="23" customHeight="1"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</x:row>
    <x:row r="10" ht="36" customHeight="1">
      <x:c r="B10" s="11" t="str">
        <x:v>Period</x:v>
      </x:c>
      <x:c r="C10" s="12" t="str">
        <x:v>Start</x:v>
      </x:c>
      <x:c r="D10" s="12" t="str">
        <x:v>End</x:v>
      </x:c>
      <x:c r="E10" s="12" t="str">
        <x:v>Original posts</x:v>
      </x:c>
      <x:c r="F10" s="12" t="str">
        <x:v>Outbound clicks</x:v>
      </x:c>
      <x:c r="G10" s="12" t="str">
        <x:v>Ad spend ZAR</x:v>
      </x:c>
      <x:c r="H10" s="12" t="str">
        <x:v>Live listing snapshot</x:v>
      </x:c>
      <x:c r="I10" s="12" t="str">
        <x:v>Qualified enquiries</x:v>
      </x:c>
      <x:c r="J10" s="12" t="str">
        <x:v>Paid enquiries</x:v>
      </x:c>
      <x:c r="K10" s="12" t="str">
        <x:v>Cost / paid enquiry</x:v>
      </x:c>
      <x:c r="L10" s="12" t="str">
        <x:v>Review done?</x:v>
      </x:c>
      <x:c r="M10" s="13" t="str">
        <x:v>Evidence reference</x:v>
      </x:c>
    </x:row>
    <x:row r="11" ht="23" customHeight="1">
      <x:c r="B11" s="2" t="str">
        <x:v>Week 1</x:v>
      </x:c>
      <x:c r="C11" s="14" t="n">
        <x:f>Calendar!$C$4+0</x:f>
        <x:v>46321</x:v>
      </x:c>
      <x:c r="D11" s="14" t="n">
        <x:f>C11+6</x:f>
        <x:v>46327</x:v>
      </x:c>
      <x:c r="E11" s="2" t="str">
        <x:f>IF($C$7&lt;&gt;"Yes","Not recorded",COUNTIFS(Calendar!$I$9:$I$38,"Published",Calendar!$J$9:$J$38,"&gt;="&amp;C11,Calendar!$J$9:$J$38,"&lt;"&amp;D11+1))</x:f>
        <x:v>Not recorded</x:v>
      </x:c>
      <x:c r="F11" s="5"/>
      <x:c r="G11" s="19"/>
      <x:c r="H11" s="5"/>
      <x:c r="I11" s="2" t="str">
        <x:f>IF($C$7&lt;&gt;"Yes","Not recorded",SUMIFS(Enquiries!$M$9:$M$108,Enquiries!$B$9:$B$108,"&gt;="&amp;C11,Enquiries!$B$9:$B$108,"&lt;"&amp;D11+1))</x:f>
        <x:v>Not recorded</x:v>
      </x:c>
      <x:c r="J11" s="2" t="str">
        <x:f>IF($C$7&lt;&gt;"Yes","Not recorded",SUMIFS(Enquiries!$N$9:$N$108,Enquiries!$B$9:$B$108,"&gt;="&amp;C11,Enquiries!$B$9:$B$108,"&lt;"&amp;D11+1))</x:f>
        <x:v>Not recorded</x:v>
      </x:c>
      <x:c r="K11" s="18" t="str">
        <x:f>IF(OR(G11="",$C$23&lt;&gt;"Pass",NOT(ISNUMBER(J11))),"n.a.",IF(OR(J11=0,COUNTIFS(Enquiries!$B$9:$B$108,"&gt;="&amp;C11,Enquiries!$B$9:$B$108,"&lt;"&amp;D11+1,Enquiries!$E$9:$E$108,"paid_social",Enquiries!$M$9:$M$108,1,Enquiries!$N$9:$N$108,0)&gt;0),"n.a.",G11/J11))</x:f>
        <x:v>n.a.</x:v>
      </x:c>
      <x:c r="L11" s="5"/>
      <x:c r="M11" s="5"/>
    </x:row>
    <x:row r="12" ht="23" customHeight="1">
      <x:c r="B12" s="2" t="str">
        <x:v>Week 2</x:v>
      </x:c>
      <x:c r="C12" s="14" t="n">
        <x:f>Calendar!$C$4+7</x:f>
        <x:v>46328</x:v>
      </x:c>
      <x:c r="D12" s="14" t="n">
        <x:f>C12+6</x:f>
        <x:v>46334</x:v>
      </x:c>
      <x:c r="E12" s="2" t="str">
        <x:f>IF($C$7&lt;&gt;"Yes","Not recorded",COUNTIFS(Calendar!$I$9:$I$38,"Published",Calendar!$J$9:$J$38,"&gt;="&amp;C12,Calendar!$J$9:$J$38,"&lt;"&amp;D12+1))</x:f>
        <x:v>Not recorded</x:v>
      </x:c>
      <x:c r="F12" s="5"/>
      <x:c r="G12" s="19"/>
      <x:c r="H12" s="5"/>
      <x:c r="I12" s="2" t="str">
        <x:f>IF($C$7&lt;&gt;"Yes","Not recorded",SUMIFS(Enquiries!$M$9:$M$108,Enquiries!$B$9:$B$108,"&gt;="&amp;C12,Enquiries!$B$9:$B$108,"&lt;"&amp;D12+1))</x:f>
        <x:v>Not recorded</x:v>
      </x:c>
      <x:c r="J12" s="2" t="str">
        <x:f>IF($C$7&lt;&gt;"Yes","Not recorded",SUMIFS(Enquiries!$N$9:$N$108,Enquiries!$B$9:$B$108,"&gt;="&amp;C12,Enquiries!$B$9:$B$108,"&lt;"&amp;D12+1))</x:f>
        <x:v>Not recorded</x:v>
      </x:c>
      <x:c r="K12" s="18" t="str">
        <x:f>IF(OR(G12="",$C$23&lt;&gt;"Pass",NOT(ISNUMBER(J12))),"n.a.",IF(OR(J12=0,COUNTIFS(Enquiries!$B$9:$B$108,"&gt;="&amp;C12,Enquiries!$B$9:$B$108,"&lt;"&amp;D12+1,Enquiries!$E$9:$E$108,"paid_social",Enquiries!$M$9:$M$108,1,Enquiries!$N$9:$N$108,0)&gt;0),"n.a.",G12/J12))</x:f>
        <x:v>n.a.</x:v>
      </x:c>
      <x:c r="L12" s="5"/>
      <x:c r="M12" s="5"/>
    </x:row>
    <x:row r="13" ht="23" customHeight="1">
      <x:c r="B13" s="2" t="str">
        <x:v>Week 3</x:v>
      </x:c>
      <x:c r="C13" s="14" t="n">
        <x:f>Calendar!$C$4+14</x:f>
        <x:v>46335</x:v>
      </x:c>
      <x:c r="D13" s="14" t="n">
        <x:f>C13+6</x:f>
        <x:v>46341</x:v>
      </x:c>
      <x:c r="E13" s="2" t="str">
        <x:f>IF($C$7&lt;&gt;"Yes","Not recorded",COUNTIFS(Calendar!$I$9:$I$38,"Published",Calendar!$J$9:$J$38,"&gt;="&amp;C13,Calendar!$J$9:$J$38,"&lt;"&amp;D13+1))</x:f>
        <x:v>Not recorded</x:v>
      </x:c>
      <x:c r="F13" s="5"/>
      <x:c r="G13" s="19"/>
      <x:c r="H13" s="5"/>
      <x:c r="I13" s="2" t="str">
        <x:f>IF($C$7&lt;&gt;"Yes","Not recorded",SUMIFS(Enquiries!$M$9:$M$108,Enquiries!$B$9:$B$108,"&gt;="&amp;C13,Enquiries!$B$9:$B$108,"&lt;"&amp;D13+1))</x:f>
        <x:v>Not recorded</x:v>
      </x:c>
      <x:c r="J13" s="2" t="str">
        <x:f>IF($C$7&lt;&gt;"Yes","Not recorded",SUMIFS(Enquiries!$N$9:$N$108,Enquiries!$B$9:$B$108,"&gt;="&amp;C13,Enquiries!$B$9:$B$108,"&lt;"&amp;D13+1))</x:f>
        <x:v>Not recorded</x:v>
      </x:c>
      <x:c r="K13" s="18" t="str">
        <x:f>IF(OR(G13="",$C$23&lt;&gt;"Pass",NOT(ISNUMBER(J13))),"n.a.",IF(OR(J13=0,COUNTIFS(Enquiries!$B$9:$B$108,"&gt;="&amp;C13,Enquiries!$B$9:$B$108,"&lt;"&amp;D13+1,Enquiries!$E$9:$E$108,"paid_social",Enquiries!$M$9:$M$108,1,Enquiries!$N$9:$N$108,0)&gt;0),"n.a.",G13/J13))</x:f>
        <x:v>n.a.</x:v>
      </x:c>
      <x:c r="L13" s="5"/>
      <x:c r="M13" s="5"/>
    </x:row>
    <x:row r="14" ht="23" customHeight="1">
      <x:c r="B14" s="2" t="str">
        <x:v>Days 22–30</x:v>
      </x:c>
      <x:c r="C14" s="14" t="n">
        <x:f>Calendar!$C$4+21</x:f>
        <x:v>46342</x:v>
      </x:c>
      <x:c r="D14" s="14" t="n">
        <x:f>C14+8</x:f>
        <x:v>46350</x:v>
      </x:c>
      <x:c r="E14" s="2" t="str">
        <x:f>IF($C$7&lt;&gt;"Yes","Not recorded",COUNTIFS(Calendar!$I$9:$I$38,"Published",Calendar!$J$9:$J$38,"&gt;="&amp;C14,Calendar!$J$9:$J$38,"&lt;"&amp;D14+1))</x:f>
        <x:v>Not recorded</x:v>
      </x:c>
      <x:c r="F14" s="5"/>
      <x:c r="G14" s="19"/>
      <x:c r="H14" s="5"/>
      <x:c r="I14" s="2" t="str">
        <x:f>IF($C$7&lt;&gt;"Yes","Not recorded",SUMIFS(Enquiries!$M$9:$M$108,Enquiries!$B$9:$B$108,"&gt;="&amp;C14,Enquiries!$B$9:$B$108,"&lt;"&amp;D14+1))</x:f>
        <x:v>Not recorded</x:v>
      </x:c>
      <x:c r="J14" s="2" t="str">
        <x:f>IF($C$7&lt;&gt;"Yes","Not recorded",SUMIFS(Enquiries!$N$9:$N$108,Enquiries!$B$9:$B$108,"&gt;="&amp;C14,Enquiries!$B$9:$B$108,"&lt;"&amp;D14+1))</x:f>
        <x:v>Not recorded</x:v>
      </x:c>
      <x:c r="K14" s="18" t="str">
        <x:f>IF(OR(G14="",$C$23&lt;&gt;"Pass",NOT(ISNUMBER(J14))),"n.a.",IF(OR(J14=0,COUNTIFS(Enquiries!$B$9:$B$108,"&gt;="&amp;C14,Enquiries!$B$9:$B$108,"&lt;"&amp;D14+1,Enquiries!$E$9:$E$108,"paid_social",Enquiries!$M$9:$M$108,1,Enquiries!$N$9:$N$108,0)&gt;0),"n.a.",G14/J14))</x:f>
        <x:v>n.a.</x:v>
      </x:c>
      <x:c r="L14" s="5"/>
      <x:c r="M14" s="5"/>
    </x:row>
    <x:row r="15" ht="23" customHeight="1"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</x:row>
    <x:row r="16" ht="23" customHeight="1">
      <x:c r="B16" s="2" t="str">
        <x:v>Live listings are dated local snapshots, not cumulative totals. Clicks, enquiries and confirmed tenancies are different outcomes.</x:v>
      </x:c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</x:row>
    <x:row r="17" ht="23" customHeight="1"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</x:row>
    <x:row r="18" ht="36" customHeight="1">
      <x:c r="B18" s="11" t="str">
        <x:v>Readiness input</x:v>
      </x:c>
      <x:c r="C18" s="12" t="str">
        <x:v>Status</x:v>
      </x:c>
      <x:c r="D18" s="12" t="str">
        <x:v>Count / evidence</x:v>
      </x:c>
      <x:c r="E18" s="13" t="str">
        <x:v>Evidence date</x:v>
      </x:c>
      <x:c r="F18" s="2"/>
      <x:c r="G18" s="2"/>
      <x:c r="H18" s="2"/>
      <x:c r="I18" s="2"/>
      <x:c r="J18" s="2"/>
      <x:c r="K18" s="2"/>
      <x:c r="L18" s="2"/>
      <x:c r="M18" s="2"/>
    </x:row>
    <x:row r="19" ht="30" customHeight="1">
      <x:c r="B19" s="2" t="str">
        <x:v>Current local listings (minimum 5)</x:v>
      </x:c>
      <x:c r="C19" s="2" t="str">
        <x:f>IF(D19="","Not tested",IF(AND(ISNUMBER(D19),D19&gt;=5,ISNUMBER(E19),$K$4&lt;&gt;""),"Pass","Needs work"))</x:f>
        <x:v>Not tested</x:v>
      </x:c>
      <x:c r="D19" s="5"/>
      <x:c r="E19" s="6"/>
      <x:c r="F19" s="2"/>
      <x:c r="G19" s="2"/>
      <x:c r="H19" s="2"/>
      <x:c r="I19" s="2"/>
      <x:c r="J19" s="2"/>
      <x:c r="K19" s="2"/>
      <x:c r="L19" s="2"/>
      <x:c r="M19" s="2"/>
    </x:row>
    <x:row r="20" ht="30" customHeight="1">
      <x:c r="B20" s="2" t="str">
        <x:v>Mobile renter-contact journey</x:v>
      </x:c>
      <x:c r="C20" s="5" t="str">
        <x:v>Not tested</x:v>
      </x:c>
      <x:c r="D20" s="5"/>
      <x:c r="E20" s="6"/>
      <x:c r="F20" s="2"/>
      <x:c r="G20" s="2"/>
      <x:c r="H20" s="2"/>
      <x:c r="I20" s="2"/>
      <x:c r="J20" s="2"/>
      <x:c r="K20" s="2"/>
      <x:c r="L20" s="2"/>
      <x:c r="M20" s="2"/>
    </x:row>
    <x:row r="21" ht="30" customHeight="1">
      <x:c r="B21" s="2" t="str">
        <x:v>Owner submission and review</x:v>
      </x:c>
      <x:c r="C21" s="5" t="str">
        <x:v>Not tested</x:v>
      </x:c>
      <x:c r="D21" s="5"/>
      <x:c r="E21" s="6"/>
      <x:c r="F21" s="2"/>
      <x:c r="G21" s="2"/>
      <x:c r="H21" s="2"/>
      <x:c r="I21" s="2"/>
      <x:c r="J21" s="2"/>
      <x:c r="K21" s="2"/>
      <x:c r="L21" s="2"/>
      <x:c r="M21" s="2"/>
    </x:row>
    <x:row r="22" ht="30" customHeight="1">
      <x:c r="B22" s="2" t="str">
        <x:v>Required media permissions</x:v>
      </x:c>
      <x:c r="C22" s="5" t="str">
        <x:v>Not tested</x:v>
      </x:c>
      <x:c r="D22" s="5"/>
      <x:c r="E22" s="6"/>
      <x:c r="F22" s="2"/>
      <x:c r="G22" s="2"/>
      <x:c r="H22" s="2"/>
      <x:c r="I22" s="2"/>
      <x:c r="J22" s="2"/>
      <x:c r="K22" s="2"/>
      <x:c r="L22" s="2"/>
      <x:c r="M22" s="2"/>
    </x:row>
    <x:row r="23" ht="30" customHeight="1">
      <x:c r="B23" s="2" t="str">
        <x:v>Campaign source reporting</x:v>
      </x:c>
      <x:c r="C23" s="5" t="str">
        <x:v>Not tested</x:v>
      </x:c>
      <x:c r="D23" s="5"/>
      <x:c r="E23" s="6"/>
      <x:c r="F23" s="2"/>
      <x:c r="G23" s="2"/>
      <x:c r="H23" s="2"/>
      <x:c r="I23" s="2"/>
      <x:c r="J23" s="2"/>
      <x:c r="K23" s="2"/>
      <x:c r="L23" s="2"/>
      <x:c r="M23" s="2"/>
    </x:row>
    <x:row r="24" ht="30" customHeight="1">
      <x:c r="B24" s="2" t="str">
        <x:v>Availability rechecked for launch</x:v>
      </x:c>
      <x:c r="C24" s="5" t="str">
        <x:v>Not tested</x:v>
      </x:c>
      <x:c r="D24" s="5"/>
      <x:c r="E24" s="6"/>
      <x:c r="F24" s="2"/>
      <x:c r="G24" s="2"/>
      <x:c r="H24" s="2"/>
      <x:c r="I24" s="2"/>
      <x:c r="J24" s="2"/>
      <x:c r="K24" s="2"/>
      <x:c r="L24" s="2"/>
      <x:c r="M24" s="2"/>
    </x:row>
    <x:row r="25" ht="30" customHeight="1">
      <x:c r="B25" s="2" t="str">
        <x:v>South African housing-ad setup</x:v>
      </x:c>
      <x:c r="C25" s="5" t="str">
        <x:v>Not tested</x:v>
      </x:c>
      <x:c r="D25" s="5"/>
      <x:c r="E25" s="6"/>
      <x:c r="F25" s="2"/>
      <x:c r="G25" s="2"/>
      <x:c r="H25" s="2"/>
      <x:c r="I25" s="2"/>
      <x:c r="J25" s="2"/>
      <x:c r="K25" s="2"/>
      <x:c r="L25" s="2"/>
      <x:c r="M25" s="2"/>
    </x:row>
    <x:row r="26" ht="26" customHeight="1"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</x:row>
    <x:row r="27" ht="26" customHeight="1">
      <x:c r="B27" s="2" t="str">
        <x:v>Organic live-listing launch</x:v>
      </x:c>
      <x:c r="C27" s="2" t="str">
        <x:f>IF(AND(C19="Pass",C20="Pass",C21="Pass",C22="Pass",C23="Pass",C24="Pass",COUNTA(D20:D24)=5,COUNT(E20:E24)=5),"Ready","Preparation")</x:f>
        <x:v>Preparation</x:v>
      </x:c>
      <x:c r="D27" s="2"/>
      <x:c r="E27" s="2"/>
      <x:c r="F27" s="2"/>
      <x:c r="G27" s="2"/>
      <x:c r="H27" s="2"/>
      <x:c r="I27" s="2"/>
      <x:c r="J27" s="2"/>
      <x:c r="K27" s="2"/>
      <x:c r="L27" s="2"/>
      <x:c r="M27" s="2"/>
    </x:row>
    <x:row r="28" ht="26" customHeight="1">
      <x:c r="B28" s="2" t="str">
        <x:v>Paid test readiness</x:v>
      </x:c>
      <x:c r="C28" s="2" t="str">
        <x:f>IF(AND(C27="Ready",C25="Pass",D25&lt;&gt;"",ISNUMBER(E25),$C$7="Yes"),"Ready","Preparation")</x:f>
        <x:v>Preparation</x:v>
      </x:c>
      <x:c r="D28" s="2"/>
      <x:c r="E28" s="2"/>
      <x:c r="F28" s="2"/>
      <x:c r="G28" s="2"/>
      <x:c r="H28" s="2"/>
      <x:c r="I28" s="2"/>
      <x:c r="J28" s="2"/>
      <x:c r="K28" s="2"/>
      <x:c r="L28" s="2"/>
      <x:c r="M28" s="2"/>
    </x:row>
    <x:row r="29" ht="23" customHeight="1">
      <x:c r="B29" s="2" t="str">
        <x:v>Recorded ad spend (ZAR)</x:v>
      </x:c>
      <x:c r="C29" s="18" t="str">
        <x:f>IF(COUNT(G11:G14)=0,"Not recorded",SUM(G11:G14))</x:f>
        <x:v>Not recorded</x:v>
      </x:c>
      <x:c r="D29" s="2"/>
      <x:c r="E29" s="2"/>
      <x:c r="F29" s="2"/>
      <x:c r="G29" s="2"/>
      <x:c r="H29" s="2"/>
      <x:c r="I29" s="2"/>
      <x:c r="J29" s="2"/>
      <x:c r="K29" s="2"/>
      <x:c r="L29" s="2"/>
      <x:c r="M29" s="2"/>
    </x:row>
    <x:row r="30" ht="40" customHeight="1">
      <x:c r="B30" s="2" t="str">
        <x:v>Next advertising action</x:v>
      </x:c>
      <x:c r="C30" s="2" t="str">
        <x:f>IF(C28&lt;&gt;"Ready","Keep ads at R0",IF(COUNT(G11:G14)=0,"Prepare first capped tranche",IF(SUM(G11:G14)&gt;=$C$5,"Cap reached: stop",IF(SUM(G11:G14)&gt;=$C$6,IF(AND(ISNUMBER(G7),G7&gt;0),"Pause: review remaining budget","Keep paused: no attributed enquiry"),"First tranche only"))))</x:f>
        <x:v>Keep ads at R0</x:v>
      </x:c>
      <x:c r="D30" s="2"/>
      <x:c r="E30" s="2"/>
      <x:c r="F30" s="2"/>
      <x:c r="G30" s="2"/>
      <x:c r="H30" s="2"/>
      <x:c r="I30" s="2"/>
      <x:c r="J30" s="2"/>
      <x:c r="K30" s="2"/>
      <x:c r="L30" s="2"/>
      <x:c r="M30" s="2"/>
    </x:row>
    <x:row r="31" ht="23" customHeight="1"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</x:row>
    <x:row r="32" ht="23" customHeight="1">
      <x:c r="B32" s="2" t="str">
        <x:v>Targets: 12 owner conversations, 3 participating owners, 5 publishable rentals. Planning targets, not forecasts.</x:v>
      </x:c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</x:row>
    <x:row r="33" ht="23" customHeight="1">
      <x:c r="B33" s="2" t="str">
        <x:v>Ad cap is all-in. Pause at R375; release remaining budget only after attributed enquiry and renewed readiness checks.</x:v>
      </x:c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</x:row>
    <x:row r="34" ht="23" customHeight="1">
      <x:c r="B34" s="2" t="str">
        <x:v>Initial state is unmeasured. Source: user-approved campaign plan, 25 October 2026. No live performance imported.</x:v>
      </x:c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</x:row>
    <x:row r="35" ht="23" customHeight="1">
      <x:c r="B35" s="2" t="str">
        <x:v>Set Logging started to Yes only when maintaining actual records. Enquiries require evidence for paid attribution.</x:v>
      </x:c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</x:row>
    <x:row r="36" ht="23" customHeight="1">
      <x:c r="B36" s="2" t="str">
        <x:v>Use one owner ID per business and one renter-room key per enquiry. Repeated channel contact must not inflate counts.</x:v>
      </x:c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</x:row>
    <x:row r="37" ht="23" customHeight="1">
      <x:c r="B37" s="2" t="str">
        <x:v>See readiness-and-measurement.md for the precise definitions, source tags and pause conditions.</x:v>
      </x:c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</x:row>
  </x:sheetData>
  <x:conditionalFormatting sqref="C20:C25">
    <x:cfRule type="containsText" dxfId="0" priority="1" operator="containsText" text="Needs work"/>
  </x:conditionalFormatting>
  <x:dataValidations count="3">
    <x:dataValidation type="list" sqref="C7">
      <x:formula1>"Yes,No"</x:formula1>
    </x:dataValidation>
    <x:dataValidation type="list" sqref="L11:L14">
      <x:formula1>"Yes,No"</x:formula1>
    </x:dataValidation>
    <x:dataValidation type="list" sqref="C20:C25">
      <x:formula1>"Not tested,Pass,Needs work"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51A24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2" max="2" width="7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62" hidden="0" customWidth="1"/>
    <x:col min="9" max="9" width="18" hidden="0" customWidth="1"/>
    <x:col min="10" max="10" width="18" hidden="0" customWidth="1"/>
    <x:col min="11" max="11" width="29" hidden="0" customWidth="1"/>
    <x:col min="12" max="12" width="49" hidden="0" customWidth="1"/>
  </x:cols>
  <x:sheetData>
    <x:row r="2" ht="23" customHeight="1">
      <x:c r="B2" s="3" t="str">
        <x:v>30-day content calendar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3" customHeight="1"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3" customHeight="1">
      <x:c r="B4" s="2" t="str">
        <x:v>Day 1</x:v>
      </x:c>
      <x:c r="C4" s="6" t="d">
        <x:v>2026-10-26T00:00:00.000Z</x:v>
      </x:c>
      <x:c r="D4" s="2"/>
      <x:c r="E4" s="2" t="str">
        <x:v>Timezone</x:v>
      </x:c>
      <x:c r="F4" s="2" t="str">
        <x:v>Africa/Johannesburg</x:v>
      </x:c>
      <x:c r="G4" s="2"/>
      <x:c r="H4" s="2"/>
      <x:c r="I4" s="2"/>
      <x:c r="J4" s="2"/>
      <x:c r="K4" s="2"/>
      <x:c r="L4" s="2"/>
    </x:row>
    <x:row r="5" ht="23" customHeight="1">
      <x:c r="B5" s="2" t="str">
        <x:v>Amber = editable. Proposed dates; no posts scheduled. Change Day 1 to shift every date.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3" customHeight="1">
      <x:c r="B6" s="2" t="str">
        <x:v>One row per original asset. Cross-posted copies do not add to the original-post count.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3" customHeight="1"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36" customHeight="1">
      <x:c r="B8" s="11" t="str">
        <x:v>Day</x:v>
      </x:c>
      <x:c r="C8" s="12" t="str">
        <x:v>Date</x:v>
      </x:c>
      <x:c r="D8" s="12" t="str">
        <x:v>Time SAST</x:v>
      </x:c>
      <x:c r="E8" s="12" t="str">
        <x:v>Asset</x:v>
      </x:c>
      <x:c r="F8" s="12" t="str">
        <x:v>Format</x:v>
      </x:c>
      <x:c r="G8" s="12" t="str">
        <x:v>Audience</x:v>
      </x:c>
      <x:c r="H8" s="12" t="str">
        <x:v>Post or task</x:v>
      </x:c>
      <x:c r="I8" s="12" t="str">
        <x:v>Status</x:v>
      </x:c>
      <x:c r="J8" s="12" t="str">
        <x:v>Published date</x:v>
      </x:c>
      <x:c r="K8" s="12" t="str">
        <x:v>Destinations</x:v>
      </x:c>
      <x:c r="L8" s="13" t="str">
        <x:v>Notes</x:v>
      </x:c>
    </x:row>
    <x:row r="9" ht="62" customHeight="1">
      <x:c r="B9" s="15" t="n">
        <x:v>1</x:v>
      </x:c>
      <x:c r="C9" s="14" t="n">
        <x:f>$C$4+B9-1</x:f>
        <x:v>46321</x:v>
      </x:c>
      <x:c r="D9" s="16" t="str"/>
      <x:c r="E9" s="2" t="str"/>
      <x:c r="F9" s="2" t="str">
        <x:v>Task</x:v>
      </x:c>
      <x:c r="G9" s="2" t="str">
        <x:v>Operations</x:v>
      </x:c>
      <x:c r="H9" s="17" t="str">
        <x:v>Create profiles; add bios, profile image and cover; identify three appropriate groups.</x:v>
      </x:c>
      <x:c r="I9" s="5" t="str">
        <x:v>Planned</x:v>
      </x:c>
      <x:c r="J9" s="6"/>
      <x:c r="K9" s="2" t="str"/>
      <x:c r="L9" s="17" t="str">
        <x:v>Do not count invitations as owner conversations.</x:v>
      </x:c>
    </x:row>
    <x:row r="10" ht="62" customHeight="1">
      <x:c r="B10" s="15" t="n">
        <x:v>2</x:v>
      </x:c>
      <x:c r="C10" s="14" t="n">
        <x:f>$C$4+B10-1</x:f>
        <x:v>46322</x:v>
      </x:c>
      <x:c r="D10" s="16" t="str">
        <x:v>18:30</x:v>
      </x:c>
      <x:c r="E10" s="2" t="str">
        <x:v>V01</x:v>
      </x:c>
      <x:c r="F10" s="2" t="str">
        <x:v>Video</x:v>
      </x:c>
      <x:c r="G10" s="2" t="str">
        <x:v>Renters</x:v>
      </x:c>
      <x:c r="H10" s="17" t="str">
        <x:v>Start with the full rental picture.</x:v>
      </x:c>
      <x:c r="I10" s="5" t="str">
        <x:v>Ready</x:v>
      </x:c>
      <x:c r="J10" s="6"/>
      <x:c r="K10" s="2" t="str">
        <x:v>Facebook; Instagram; TikTok</x:v>
      </x:c>
      <x:c r="L10" s="17" t="str">
        <x:v>Preparation CTA. Upload manually or schedule after accounts are connected.</x:v>
      </x:c>
    </x:row>
    <x:row r="11" ht="62" customHeight="1">
      <x:c r="B11" s="15" t="n">
        <x:v>3</x:v>
      </x:c>
      <x:c r="C11" s="14" t="n">
        <x:f>$C$4+B11-1</x:f>
        <x:v>46323</x:v>
      </x:c>
      <x:c r="D11" s="16" t="str"/>
      <x:c r="E11" s="2" t="str"/>
      <x:c r="F11" s="2" t="str">
        <x:v>Task</x:v>
      </x:c>
      <x:c r="G11" s="2" t="str">
        <x:v>Operations</x:v>
      </x:c>
      <x:c r="H11" s="17" t="str">
        <x:v>Community contribution 1; invite three relevant owners individually after checking fit.</x:v>
      </x:c>
      <x:c r="I11" s="5" t="str">
        <x:v>Planned</x:v>
      </x:c>
      <x:c r="J11" s="6"/>
      <x:c r="K11" s="2" t="str"/>
      <x:c r="L11" s="17" t="str">
        <x:v>Do not count invitations as owner conversations.</x:v>
      </x:c>
    </x:row>
    <x:row r="12" ht="62" customHeight="1">
      <x:c r="B12" s="15" t="n">
        <x:v>4</x:v>
      </x:c>
      <x:c r="C12" s="14" t="n">
        <x:f>$C$4+B12-1</x:f>
        <x:v>46324</x:v>
      </x:c>
      <x:c r="D12" s="16" t="str">
        <x:v>18:30</x:v>
      </x:c>
      <x:c r="E12" s="2" t="str">
        <x:v>V02</x:v>
      </x:c>
      <x:c r="F12" s="2" t="str">
        <x:v>Video</x:v>
      </x:c>
      <x:c r="G12" s="2" t="str">
        <x:v>Owners</x:v>
      </x:c>
      <x:c r="H12" s="17" t="str">
        <x:v>Get your room listing ready.</x:v>
      </x:c>
      <x:c r="I12" s="5" t="str">
        <x:v>Ready</x:v>
      </x:c>
      <x:c r="J12" s="6"/>
      <x:c r="K12" s="2" t="str">
        <x:v>Facebook; Instagram; TikTok</x:v>
      </x:c>
      <x:c r="L12" s="17" t="str">
        <x:v>Preparation CTA. Upload manually or schedule after accounts are connected.</x:v>
      </x:c>
    </x:row>
    <x:row r="13" ht="62" customHeight="1">
      <x:c r="B13" s="15" t="n">
        <x:v>5</x:v>
      </x:c>
      <x:c r="C13" s="14" t="n">
        <x:f>$C$4+B13-1</x:f>
        <x:v>46325</x:v>
      </x:c>
      <x:c r="D13" s="16" t="str"/>
      <x:c r="E13" s="2" t="str"/>
      <x:c r="F13" s="2" t="str">
        <x:v>Task</x:v>
      </x:c>
      <x:c r="G13" s="2" t="str">
        <x:v>Operations</x:v>
      </x:c>
      <x:c r="H13" s="17" t="str">
        <x:v>Reply to owners; record authority and permissions; prepare the next week as drafts.</x:v>
      </x:c>
      <x:c r="I13" s="5" t="str">
        <x:v>Planned</x:v>
      </x:c>
      <x:c r="J13" s="6"/>
      <x:c r="K13" s="2" t="str"/>
      <x:c r="L13" s="17" t="str">
        <x:v>Do not count invitations as owner conversations.</x:v>
      </x:c>
    </x:row>
    <x:row r="14" ht="62" customHeight="1">
      <x:c r="B14" s="15" t="n">
        <x:v>6</x:v>
      </x:c>
      <x:c r="C14" s="14" t="n">
        <x:f>$C$4+B14-1</x:f>
        <x:v>46326</x:v>
      </x:c>
      <x:c r="D14" s="16" t="str">
        <x:v>18:30</x:v>
      </x:c>
      <x:c r="E14" s="2" t="str">
        <x:v>C01</x:v>
      </x:c>
      <x:c r="F14" s="2" t="str">
        <x:v>Carousel</x:v>
      </x:c>
      <x:c r="G14" s="2" t="str">
        <x:v>Renters</x:v>
      </x:c>
      <x:c r="H14" s="17" t="str">
        <x:v>Your room-viewing checklist.</x:v>
      </x:c>
      <x:c r="I14" s="5" t="str">
        <x:v>Ready</x:v>
      </x:c>
      <x:c r="J14" s="6"/>
      <x:c r="K14" s="2" t="str">
        <x:v>Facebook; Instagram</x:v>
      </x:c>
      <x:c r="L14" s="17" t="str">
        <x:v>Preparation CTA. Upload manually or schedule after accounts are connected.</x:v>
      </x:c>
    </x:row>
    <x:row r="15" ht="62" customHeight="1">
      <x:c r="B15" s="15" t="n">
        <x:v>7</x:v>
      </x:c>
      <x:c r="C15" s="14" t="n">
        <x:f>$C$4+B15-1</x:f>
        <x:v>46327</x:v>
      </x:c>
      <x:c r="D15" s="16" t="str"/>
      <x:c r="E15" s="2" t="str"/>
      <x:c r="F15" s="2" t="str">
        <x:v>Task</x:v>
      </x:c>
      <x:c r="G15" s="2" t="str">
        <x:v>Operations</x:v>
      </x:c>
      <x:c r="H15" s="17" t="str">
        <x:v>Community contribution 2; review results and actual effort.</x:v>
      </x:c>
      <x:c r="I15" s="5" t="str">
        <x:v>Planned</x:v>
      </x:c>
      <x:c r="J15" s="6"/>
      <x:c r="K15" s="2" t="str"/>
      <x:c r="L15" s="17" t="str">
        <x:v>Do not count invitations as owner conversations.</x:v>
      </x:c>
    </x:row>
    <x:row r="16" ht="62" customHeight="1">
      <x:c r="B16" s="15" t="n">
        <x:v>8</x:v>
      </x:c>
      <x:c r="C16" s="14" t="n">
        <x:f>$C$4+B16-1</x:f>
        <x:v>46328</x:v>
      </x:c>
      <x:c r="D16" s="16" t="str"/>
      <x:c r="E16" s="2" t="str"/>
      <x:c r="F16" s="2" t="str">
        <x:v>Task</x:v>
      </x:c>
      <x:c r="G16" s="2" t="str">
        <x:v>Operations</x:v>
      </x:c>
      <x:c r="H16" s="17" t="str">
        <x:v>Batch the next two supplied videos; prepare owner intake and footage requests.</x:v>
      </x:c>
      <x:c r="I16" s="5" t="str">
        <x:v>Planned</x:v>
      </x:c>
      <x:c r="J16" s="6"/>
      <x:c r="K16" s="2" t="str"/>
      <x:c r="L16" s="17" t="str">
        <x:v>Do not count invitations as owner conversations.</x:v>
      </x:c>
    </x:row>
    <x:row r="17" ht="62" customHeight="1">
      <x:c r="B17" s="15" t="n">
        <x:v>9</x:v>
      </x:c>
      <x:c r="C17" s="14" t="n">
        <x:f>$C$4+B17-1</x:f>
        <x:v>46329</x:v>
      </x:c>
      <x:c r="D17" s="16" t="str">
        <x:v>18:30</x:v>
      </x:c>
      <x:c r="E17" s="2" t="str">
        <x:v>V03</x:v>
      </x:c>
      <x:c r="F17" s="2" t="str">
        <x:v>Video</x:v>
      </x:c>
      <x:c r="G17" s="2" t="str">
        <x:v>Renters</x:v>
      </x:c>
      <x:c r="H17" s="17" t="str">
        <x:v>Three questions before a room viewing.</x:v>
      </x:c>
      <x:c r="I17" s="5" t="str">
        <x:v>Ready</x:v>
      </x:c>
      <x:c r="J17" s="6"/>
      <x:c r="K17" s="2" t="str">
        <x:v>Facebook; Instagram; TikTok</x:v>
      </x:c>
      <x:c r="L17" s="17" t="str">
        <x:v>Preparation CTA. Upload manually or schedule after accounts are connected.</x:v>
      </x:c>
    </x:row>
    <x:row r="18" ht="62" customHeight="1">
      <x:c r="B18" s="15" t="n">
        <x:v>10</x:v>
      </x:c>
      <x:c r="C18" s="14" t="n">
        <x:f>$C$4+B18-1</x:f>
        <x:v>46330</x:v>
      </x:c>
      <x:c r="D18" s="16" t="str"/>
      <x:c r="E18" s="2" t="str"/>
      <x:c r="F18" s="2" t="str">
        <x:v>Task</x:v>
      </x:c>
      <x:c r="G18" s="2" t="str">
        <x:v>Operations</x:v>
      </x:c>
      <x:c r="H18" s="17" t="str">
        <x:v>Community contribution 3; aim for three additional owner conversations.</x:v>
      </x:c>
      <x:c r="I18" s="5" t="str">
        <x:v>Planned</x:v>
      </x:c>
      <x:c r="J18" s="6"/>
      <x:c r="K18" s="2" t="str"/>
      <x:c r="L18" s="17" t="str">
        <x:v>Do not count invitations as owner conversations.</x:v>
      </x:c>
    </x:row>
    <x:row r="19" ht="62" customHeight="1">
      <x:c r="B19" s="15" t="n">
        <x:v>11</x:v>
      </x:c>
      <x:c r="C19" s="14" t="n">
        <x:f>$C$4+B19-1</x:f>
        <x:v>46331</x:v>
      </x:c>
      <x:c r="D19" s="16" t="str">
        <x:v>18:30</x:v>
      </x:c>
      <x:c r="E19" s="2" t="str">
        <x:v>V04</x:v>
      </x:c>
      <x:c r="F19" s="2" t="str">
        <x:v>Video</x:v>
      </x:c>
      <x:c r="G19" s="2" t="str">
        <x:v>Renters</x:v>
      </x:c>
      <x:c r="H19" s="17" t="str">
        <x:v>Plan the monthly cost, not just the rent.</x:v>
      </x:c>
      <x:c r="I19" s="5" t="str">
        <x:v>Ready</x:v>
      </x:c>
      <x:c r="J19" s="6"/>
      <x:c r="K19" s="2" t="str">
        <x:v>Facebook; Instagram; TikTok</x:v>
      </x:c>
      <x:c r="L19" s="17" t="str">
        <x:v>Preparation CTA. Upload manually or schedule after accounts are connected.</x:v>
      </x:c>
    </x:row>
    <x:row r="20" ht="62" customHeight="1">
      <x:c r="B20" s="15" t="n">
        <x:v>12</x:v>
      </x:c>
      <x:c r="C20" s="14" t="n">
        <x:f>$C$4+B20-1</x:f>
        <x:v>46332</x:v>
      </x:c>
      <x:c r="D20" s="16" t="str"/>
      <x:c r="E20" s="2" t="str"/>
      <x:c r="F20" s="2" t="str">
        <x:v>Task</x:v>
      </x:c>
      <x:c r="G20" s="2" t="str">
        <x:v>Operations</x:v>
      </x:c>
      <x:c r="H20" s="17" t="str">
        <x:v>Owner follow-up; request facts and footage only from interested owners.</x:v>
      </x:c>
      <x:c r="I20" s="5" t="str">
        <x:v>Planned</x:v>
      </x:c>
      <x:c r="J20" s="6"/>
      <x:c r="K20" s="2" t="str"/>
      <x:c r="L20" s="17" t="str">
        <x:v>Do not count invitations as owner conversations.</x:v>
      </x:c>
    </x:row>
    <x:row r="21" ht="62" customHeight="1">
      <x:c r="B21" s="15" t="n">
        <x:v>13</x:v>
      </x:c>
      <x:c r="C21" s="14" t="n">
        <x:f>$C$4+B21-1</x:f>
        <x:v>46333</x:v>
      </x:c>
      <x:c r="D21" s="16" t="str">
        <x:v>18:30</x:v>
      </x:c>
      <x:c r="E21" s="2" t="str">
        <x:v>C02</x:v>
      </x:c>
      <x:c r="F21" s="2" t="str">
        <x:v>Carousel</x:v>
      </x:c>
      <x:c r="G21" s="2" t="str">
        <x:v>Owners</x:v>
      </x:c>
      <x:c r="H21" s="17" t="str">
        <x:v>Prepare a useful room listing.</x:v>
      </x:c>
      <x:c r="I21" s="5" t="str">
        <x:v>Ready</x:v>
      </x:c>
      <x:c r="J21" s="6"/>
      <x:c r="K21" s="2" t="str">
        <x:v>Facebook; Instagram</x:v>
      </x:c>
      <x:c r="L21" s="17" t="str">
        <x:v>Preparation CTA. Upload manually or schedule after accounts are connected.</x:v>
      </x:c>
    </x:row>
    <x:row r="22" ht="62" customHeight="1">
      <x:c r="B22" s="15" t="n">
        <x:v>14</x:v>
      </x:c>
      <x:c r="C22" s="14" t="n">
        <x:f>$C$4+B22-1</x:f>
        <x:v>46334</x:v>
      </x:c>
      <x:c r="D22" s="16" t="str"/>
      <x:c r="E22" s="2" t="str"/>
      <x:c r="F22" s="2" t="str">
        <x:v>Task</x:v>
      </x:c>
      <x:c r="G22" s="2" t="str">
        <x:v>Operations</x:v>
      </x:c>
      <x:c r="H22" s="17" t="str">
        <x:v>Community contribution 4; review supply and enquiry logs.</x:v>
      </x:c>
      <x:c r="I22" s="5" t="str">
        <x:v>Planned</x:v>
      </x:c>
      <x:c r="J22" s="6"/>
      <x:c r="K22" s="2" t="str"/>
      <x:c r="L22" s="17" t="str">
        <x:v>Do not count invitations as owner conversations.</x:v>
      </x:c>
    </x:row>
    <x:row r="23" ht="62" customHeight="1">
      <x:c r="B23" s="15" t="n">
        <x:v>15</x:v>
      </x:c>
      <x:c r="C23" s="14" t="n">
        <x:f>$C$4+B23-1</x:f>
        <x:v>46335</x:v>
      </x:c>
      <x:c r="D23" s="16" t="str"/>
      <x:c r="E23" s="2" t="str"/>
      <x:c r="F23" s="2" t="str">
        <x:v>Task</x:v>
      </x:c>
      <x:c r="G23" s="2" t="str">
        <x:v>Operations</x:v>
      </x:c>
      <x:c r="H23" s="17" t="str">
        <x:v>Check whether a real walkthrough can replace V05; otherwise keep the supplied fallback.</x:v>
      </x:c>
      <x:c r="I23" s="5" t="str">
        <x:v>Planned</x:v>
      </x:c>
      <x:c r="J23" s="6"/>
      <x:c r="K23" s="2" t="str"/>
      <x:c r="L23" s="17" t="str">
        <x:v>Do not count invitations as owner conversations.</x:v>
      </x:c>
    </x:row>
    <x:row r="24" ht="62" customHeight="1">
      <x:c r="B24" s="15" t="n">
        <x:v>16</x:v>
      </x:c>
      <x:c r="C24" s="14" t="n">
        <x:f>$C$4+B24-1</x:f>
        <x:v>46336</x:v>
      </x:c>
      <x:c r="D24" s="16" t="str">
        <x:v>18:30</x:v>
      </x:c>
      <x:c r="E24" s="2" t="str">
        <x:v>V05</x:v>
      </x:c>
      <x:c r="F24" s="2" t="str">
        <x:v>Video</x:v>
      </x:c>
      <x:c r="G24" s="2" t="str">
        <x:v>Renters</x:v>
      </x:c>
      <x:c r="H24" s="17" t="str">
        <x:v>What a useful room walkthrough should show.</x:v>
      </x:c>
      <x:c r="I24" s="5" t="str">
        <x:v>Ready</x:v>
      </x:c>
      <x:c r="J24" s="6"/>
      <x:c r="K24" s="2" t="str">
        <x:v>Facebook; Instagram; TikTok</x:v>
      </x:c>
      <x:c r="L24" s="17" t="str">
        <x:v>Preparation CTA. Upload manually or schedule after accounts are connected.</x:v>
      </x:c>
    </x:row>
    <x:row r="25" ht="62" customHeight="1">
      <x:c r="B25" s="15" t="n">
        <x:v>17</x:v>
      </x:c>
      <x:c r="C25" s="14" t="n">
        <x:f>$C$4+B25-1</x:f>
        <x:v>46337</x:v>
      </x:c>
      <x:c r="D25" s="16" t="str"/>
      <x:c r="E25" s="2" t="str"/>
      <x:c r="F25" s="2" t="str">
        <x:v>Task</x:v>
      </x:c>
      <x:c r="G25" s="2" t="str">
        <x:v>Operations</x:v>
      </x:c>
      <x:c r="H25" s="17" t="str">
        <x:v>Community contribution 5; aim for three additional owner conversations.</x:v>
      </x:c>
      <x:c r="I25" s="5" t="str">
        <x:v>Planned</x:v>
      </x:c>
      <x:c r="J25" s="6"/>
      <x:c r="K25" s="2" t="str"/>
      <x:c r="L25" s="17" t="str">
        <x:v>Do not count invitations as owner conversations.</x:v>
      </x:c>
    </x:row>
    <x:row r="26" ht="62" customHeight="1">
      <x:c r="B26" s="15" t="n">
        <x:v>18</x:v>
      </x:c>
      <x:c r="C26" s="14" t="n">
        <x:f>$C$4+B26-1</x:f>
        <x:v>46338</x:v>
      </x:c>
      <x:c r="D26" s="16" t="str">
        <x:v>18:30</x:v>
      </x:c>
      <x:c r="E26" s="2" t="str">
        <x:v>V06</x:v>
      </x:c>
      <x:c r="F26" s="2" t="str">
        <x:v>Video</x:v>
      </x:c>
      <x:c r="G26" s="2" t="str">
        <x:v>Owners</x:v>
      </x:c>
      <x:c r="H26" s="17" t="str">
        <x:v>Film a useful room walkthrough on your phone.</x:v>
      </x:c>
      <x:c r="I26" s="5" t="str">
        <x:v>Ready</x:v>
      </x:c>
      <x:c r="J26" s="6"/>
      <x:c r="K26" s="2" t="str">
        <x:v>Facebook; Instagram; TikTok</x:v>
      </x:c>
      <x:c r="L26" s="17" t="str">
        <x:v>Preparation CTA. Upload manually or schedule after accounts are connected.</x:v>
      </x:c>
    </x:row>
    <x:row r="27" ht="62" customHeight="1">
      <x:c r="B27" s="15" t="n">
        <x:v>19</x:v>
      </x:c>
      <x:c r="C27" s="14" t="n">
        <x:f>$C$4+B27-1</x:f>
        <x:v>46339</x:v>
      </x:c>
      <x:c r="D27" s="16" t="str"/>
      <x:c r="E27" s="2" t="str"/>
      <x:c r="F27" s="2" t="str">
        <x:v>Task</x:v>
      </x:c>
      <x:c r="G27" s="2" t="str">
        <x:v>Operations</x:v>
      </x:c>
      <x:c r="H27" s="17" t="str">
        <x:v>Reconfirm property facts and permissions; ask participating owners to share approved features.</x:v>
      </x:c>
      <x:c r="I27" s="5" t="str">
        <x:v>Planned</x:v>
      </x:c>
      <x:c r="J27" s="6"/>
      <x:c r="K27" s="2" t="str"/>
      <x:c r="L27" s="17" t="str">
        <x:v>Do not count invitations as owner conversations.</x:v>
      </x:c>
    </x:row>
    <x:row r="28" ht="62" customHeight="1">
      <x:c r="B28" s="15" t="n">
        <x:v>20</x:v>
      </x:c>
      <x:c r="C28" s="14" t="n">
        <x:f>$C$4+B28-1</x:f>
        <x:v>46340</x:v>
      </x:c>
      <x:c r="D28" s="16" t="str">
        <x:v>18:30</x:v>
      </x:c>
      <x:c r="E28" s="2" t="str">
        <x:v>C03</x:v>
      </x:c>
      <x:c r="F28" s="2" t="str">
        <x:v>Carousel</x:v>
      </x:c>
      <x:c r="G28" s="2" t="str">
        <x:v>Renters</x:v>
      </x:c>
      <x:c r="H28" s="17" t="str">
        <x:v>Look beyond the monthly rent.</x:v>
      </x:c>
      <x:c r="I28" s="5" t="str">
        <x:v>Ready</x:v>
      </x:c>
      <x:c r="J28" s="6"/>
      <x:c r="K28" s="2" t="str">
        <x:v>Facebook; Instagram</x:v>
      </x:c>
      <x:c r="L28" s="17" t="str">
        <x:v>Preparation CTA. Upload manually or schedule after accounts are connected.</x:v>
      </x:c>
    </x:row>
    <x:row r="29" ht="62" customHeight="1">
      <x:c r="B29" s="15" t="n">
        <x:v>21</x:v>
      </x:c>
      <x:c r="C29" s="14" t="n">
        <x:f>$C$4+B29-1</x:f>
        <x:v>46341</x:v>
      </x:c>
      <x:c r="D29" s="16" t="str"/>
      <x:c r="E29" s="2" t="str"/>
      <x:c r="F29" s="2" t="str">
        <x:v>Task</x:v>
      </x:c>
      <x:c r="G29" s="2" t="str">
        <x:v>Operations</x:v>
      </x:c>
      <x:c r="H29" s="17" t="str">
        <x:v>Community contribution 6; review renter questions and listing coverage.</x:v>
      </x:c>
      <x:c r="I29" s="5" t="str">
        <x:v>Planned</x:v>
      </x:c>
      <x:c r="J29" s="6"/>
      <x:c r="K29" s="2" t="str"/>
      <x:c r="L29" s="17" t="str">
        <x:v>Do not count invitations as owner conversations.</x:v>
      </x:c>
    </x:row>
    <x:row r="30" ht="62" customHeight="1">
      <x:c r="B30" s="15" t="n">
        <x:v>22</x:v>
      </x:c>
      <x:c r="C30" s="14" t="n">
        <x:f>$C$4+B30-1</x:f>
        <x:v>46342</x:v>
      </x:c>
      <x:c r="D30" s="16" t="str"/>
      <x:c r="E30" s="2" t="str"/>
      <x:c r="F30" s="2" t="str">
        <x:v>Task</x:v>
      </x:c>
      <x:c r="G30" s="2" t="str">
        <x:v>Operations</x:v>
      </x:c>
      <x:c r="H30" s="17" t="str">
        <x:v>Prepare final week; choose content using real questions, keeping the existing cadence.</x:v>
      </x:c>
      <x:c r="I30" s="5" t="str">
        <x:v>Planned</x:v>
      </x:c>
      <x:c r="J30" s="6"/>
      <x:c r="K30" s="2" t="str"/>
      <x:c r="L30" s="17" t="str">
        <x:v>Do not count invitations as owner conversations.</x:v>
      </x:c>
    </x:row>
    <x:row r="31" ht="62" customHeight="1">
      <x:c r="B31" s="15" t="n">
        <x:v>23</x:v>
      </x:c>
      <x:c r="C31" s="14" t="n">
        <x:f>$C$4+B31-1</x:f>
        <x:v>46343</x:v>
      </x:c>
      <x:c r="D31" s="16" t="str">
        <x:v>18:30</x:v>
      </x:c>
      <x:c r="E31" s="2" t="str">
        <x:v>V07</x:v>
      </x:c>
      <x:c r="F31" s="2" t="str">
        <x:v>Video</x:v>
      </x:c>
      <x:c r="G31" s="2" t="str">
        <x:v>Renters</x:v>
      </x:c>
      <x:c r="H31" s="17" t="str">
        <x:v>Compare two rooms using the same questions.</x:v>
      </x:c>
      <x:c r="I31" s="5" t="str">
        <x:v>Ready</x:v>
      </x:c>
      <x:c r="J31" s="6"/>
      <x:c r="K31" s="2" t="str">
        <x:v>Facebook; Instagram; TikTok</x:v>
      </x:c>
      <x:c r="L31" s="17" t="str">
        <x:v>Preparation CTA. Upload manually or schedule after accounts are connected.</x:v>
      </x:c>
    </x:row>
    <x:row r="32" ht="62" customHeight="1">
      <x:c r="B32" s="15" t="n">
        <x:v>24</x:v>
      </x:c>
      <x:c r="C32" s="14" t="n">
        <x:f>$C$4+B32-1</x:f>
        <x:v>46344</x:v>
      </x:c>
      <x:c r="D32" s="16" t="str"/>
      <x:c r="E32" s="2" t="str"/>
      <x:c r="F32" s="2" t="str">
        <x:v>Task</x:v>
      </x:c>
      <x:c r="G32" s="2" t="str">
        <x:v>Operations</x:v>
      </x:c>
      <x:c r="H32" s="17" t="str">
        <x:v>Community contribution 7; aim for the final three owner conversations.</x:v>
      </x:c>
      <x:c r="I32" s="5" t="str">
        <x:v>Planned</x:v>
      </x:c>
      <x:c r="J32" s="6"/>
      <x:c r="K32" s="2" t="str"/>
      <x:c r="L32" s="17" t="str">
        <x:v>Do not count invitations as owner conversations.</x:v>
      </x:c>
    </x:row>
    <x:row r="33" ht="62" customHeight="1">
      <x:c r="B33" s="15" t="n">
        <x:v>25</x:v>
      </x:c>
      <x:c r="C33" s="14" t="n">
        <x:f>$C$4+B33-1</x:f>
        <x:v>46345</x:v>
      </x:c>
      <x:c r="D33" s="16" t="str">
        <x:v>18:30</x:v>
      </x:c>
      <x:c r="E33" s="2" t="str">
        <x:v>V08</x:v>
      </x:c>
      <x:c r="F33" s="2" t="str">
        <x:v>Video</x:v>
      </x:c>
      <x:c r="G33" s="2" t="str">
        <x:v>Renters</x:v>
      </x:c>
      <x:c r="H33" s="17" t="str">
        <x:v>Ask a clearer first rental question.</x:v>
      </x:c>
      <x:c r="I33" s="5" t="str">
        <x:v>Ready</x:v>
      </x:c>
      <x:c r="J33" s="6"/>
      <x:c r="K33" s="2" t="str">
        <x:v>Facebook; Instagram; TikTok</x:v>
      </x:c>
      <x:c r="L33" s="17" t="str">
        <x:v>Preparation CTA. Upload manually or schedule after accounts are connected.</x:v>
      </x:c>
    </x:row>
    <x:row r="34" ht="62" customHeight="1">
      <x:c r="B34" s="15" t="n">
        <x:v>26</x:v>
      </x:c>
      <x:c r="C34" s="14" t="n">
        <x:f>$C$4+B34-1</x:f>
        <x:v>46346</x:v>
      </x:c>
      <x:c r="D34" s="16" t="str"/>
      <x:c r="E34" s="2" t="str"/>
      <x:c r="F34" s="2" t="str">
        <x:v>Task</x:v>
      </x:c>
      <x:c r="G34" s="2" t="str">
        <x:v>Operations</x:v>
      </x:c>
      <x:c r="H34" s="17" t="str">
        <x:v>Recheck any advertised availability; update owner and enquiry records.</x:v>
      </x:c>
      <x:c r="I34" s="5" t="str">
        <x:v>Planned</x:v>
      </x:c>
      <x:c r="J34" s="6"/>
      <x:c r="K34" s="2" t="str"/>
      <x:c r="L34" s="17" t="str">
        <x:v>Do not count invitations as owner conversations.</x:v>
      </x:c>
    </x:row>
    <x:row r="35" ht="62" customHeight="1">
      <x:c r="B35" s="15" t="n">
        <x:v>27</x:v>
      </x:c>
      <x:c r="C35" s="14" t="n">
        <x:f>$C$4+B35-1</x:f>
        <x:v>46347</x:v>
      </x:c>
      <x:c r="D35" s="16" t="str">
        <x:v>18:30</x:v>
      </x:c>
      <x:c r="E35" s="2" t="str">
        <x:v>C04</x:v>
      </x:c>
      <x:c r="F35" s="2" t="str">
        <x:v>Carousel</x:v>
      </x:c>
      <x:c r="G35" s="2" t="str">
        <x:v>Owners</x:v>
      </x:c>
      <x:c r="H35" s="17" t="str">
        <x:v>Keep your room advert useful.</x:v>
      </x:c>
      <x:c r="I35" s="5" t="str">
        <x:v>Ready</x:v>
      </x:c>
      <x:c r="J35" s="6"/>
      <x:c r="K35" s="2" t="str">
        <x:v>Facebook; Instagram</x:v>
      </x:c>
      <x:c r="L35" s="17" t="str">
        <x:v>Preparation CTA. Upload manually or schedule after accounts are connected.</x:v>
      </x:c>
    </x:row>
    <x:row r="36" ht="62" customHeight="1">
      <x:c r="B36" s="15" t="n">
        <x:v>28</x:v>
      </x:c>
      <x:c r="C36" s="14" t="n">
        <x:f>$C$4+B36-1</x:f>
        <x:v>46348</x:v>
      </x:c>
      <x:c r="D36" s="16" t="str"/>
      <x:c r="E36" s="2" t="str"/>
      <x:c r="F36" s="2" t="str">
        <x:v>Task</x:v>
      </x:c>
      <x:c r="G36" s="2" t="str">
        <x:v>Operations</x:v>
      </x:c>
      <x:c r="H36" s="17" t="str">
        <x:v>Community contribution 8; reconcile weekly metrics and actual spend.</x:v>
      </x:c>
      <x:c r="I36" s="5" t="str">
        <x:v>Planned</x:v>
      </x:c>
      <x:c r="J36" s="6"/>
      <x:c r="K36" s="2" t="str"/>
      <x:c r="L36" s="17" t="str">
        <x:v>Do not count invitations as owner conversations.</x:v>
      </x:c>
    </x:row>
    <x:row r="37" ht="62" customHeight="1">
      <x:c r="B37" s="15" t="n">
        <x:v>29</x:v>
      </x:c>
      <x:c r="C37" s="14" t="n">
        <x:f>$C$4+B37-1</x:f>
        <x:v>46349</x:v>
      </x:c>
      <x:c r="D37" s="16" t="str"/>
      <x:c r="E37" s="2" t="str"/>
      <x:c r="F37" s="2" t="str">
        <x:v>Task</x:v>
      </x:c>
      <x:c r="G37" s="2" t="str">
        <x:v>Operations</x:v>
      </x:c>
      <x:c r="H37" s="17" t="str">
        <x:v>Run the readiness checklist with evidence; keep failed and untested gates open.</x:v>
      </x:c>
      <x:c r="I37" s="5" t="str">
        <x:v>Planned</x:v>
      </x:c>
      <x:c r="J37" s="6"/>
      <x:c r="K37" s="2" t="str"/>
      <x:c r="L37" s="17" t="str">
        <x:v>Do not count invitations as owner conversations.</x:v>
      </x:c>
    </x:row>
    <x:row r="38" ht="62" customHeight="1">
      <x:c r="B38" s="15" t="n">
        <x:v>30</x:v>
      </x:c>
      <x:c r="C38" s="14" t="n">
        <x:f>$C$4+B38-1</x:f>
        <x:v>46350</x:v>
      </x:c>
      <x:c r="D38" s="16" t="str"/>
      <x:c r="E38" s="2" t="str"/>
      <x:c r="F38" s="2" t="str">
        <x:v>Task</x:v>
      </x:c>
      <x:c r="G38" s="2" t="str">
        <x:v>Operations</x:v>
      </x:c>
      <x:c r="H38" s="17" t="str">
        <x:v>Decide: continue organic preparation, or prepare the first capped ad tranche after every gate passes.</x:v>
      </x:c>
      <x:c r="I38" s="5" t="str">
        <x:v>Planned</x:v>
      </x:c>
      <x:c r="J38" s="6"/>
      <x:c r="K38" s="2" t="str"/>
      <x:c r="L38" s="17" t="str">
        <x:v>Do not count invitations as owner conversations.</x:v>
      </x:c>
    </x:row>
  </x:sheetData>
  <x:dataValidations count="1">
    <x:dataValidation type="list" sqref="I9:I38">
      <x:formula1>"Ready,Planned,Scheduled,Published,Skipped"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8" topLeftCell="C9" activePane="bottomRight" state="frozen"/>
    </x:sheetView>
  </x:sheetViews>
  <x:sheetFormatPr defaultRowHeight="15"/>
  <x:cols>
    <x:col min="2" max="2" width="15" hidden="0" customWidth="1"/>
    <x:col min="3" max="3" width="27" hidden="0" customWidth="1"/>
    <x:col min="4" max="4" width="18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42" hidden="0" customWidth="1"/>
    <x:col min="11" max="11" width="42" hidden="0" customWidth="1"/>
  </x:cols>
  <x:sheetData>
    <x:row r="2" ht="23" customHeight="1">
      <x:c r="B2" s="3" t="str">
        <x:v>Owner conversations and participation</x:v>
      </x:c>
      <x:c r="C2" s="3"/>
      <x:c r="D2" s="3"/>
      <x:c r="E2" s="3"/>
      <x:c r="F2" s="3"/>
      <x:c r="G2" s="3"/>
      <x:c r="H2" s="3"/>
      <x:c r="I2" s="3"/>
      <x:c r="J2" s="3"/>
      <x:c r="K2" s="3"/>
    </x:row>
    <x:row r="3" ht="23" customHeight="1"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3" customHeight="1">
      <x:c r="B4" s="2" t="str">
        <x:v>Use a stable neutral ID per owner. Keep personal details and original permissions outside this workbook.</x:v>
      </x:c>
      <x:c r="C4" s="2"/>
      <x:c r="D4" s="2"/>
      <x:c r="E4" s="2"/>
      <x:c r="F4" s="2"/>
      <x:c r="G4" s="2"/>
      <x:c r="H4" s="2"/>
      <x:c r="I4" s="2"/>
      <x:c r="J4" s="2"/>
      <x:c r="K4" s="2"/>
    </x:row>
    <x:row r="5" ht="23" customHeight="1">
      <x:c r="B5" s="2" t="str">
        <x:v>A conversation needs a substantive reply. Participation needs authority, consent and permission evidence.</x:v>
      </x:c>
      <x:c r="C5" s="2"/>
      <x:c r="D5" s="2"/>
      <x:c r="E5" s="2"/>
      <x:c r="F5" s="2"/>
      <x:c r="G5" s="2"/>
      <x:c r="H5" s="2"/>
      <x:c r="I5" s="2"/>
      <x:c r="J5" s="2"/>
      <x:c r="K5" s="2"/>
    </x:row>
    <x:row r="6" ht="23" customHeight="1">
      <x:c r="B6" s="2" t="str">
        <x:v>Targets: 12 unique owner conversations and 3 participating owners. Targets are not forecasts.</x:v>
      </x:c>
      <x:c r="C6" s="2"/>
      <x:c r="D6" s="2"/>
      <x:c r="E6" s="2"/>
      <x:c r="F6" s="2"/>
      <x:c r="G6" s="2"/>
      <x:c r="H6" s="2"/>
      <x:c r="I6" s="2"/>
      <x:c r="J6" s="2"/>
      <x:c r="K6" s="2"/>
    </x:row>
    <x:row r="7" ht="23" customHeight="1">
      <x:c r="B7" s="2"/>
      <x:c r="C7" s="2"/>
      <x:c r="D7" s="2"/>
      <x:c r="E7" s="2"/>
      <x:c r="F7" s="2"/>
      <x:c r="G7" s="2"/>
      <x:c r="H7" s="2"/>
      <x:c r="I7" s="2"/>
      <x:c r="J7" s="2"/>
      <x:c r="K7" s="2"/>
    </x:row>
    <x:row r="8" ht="36" customHeight="1">
      <x:c r="B8" s="11" t="str">
        <x:v>Owner ID</x:v>
      </x:c>
      <x:c r="C8" s="12" t="str">
        <x:v>Town / suburb</x:v>
      </x:c>
      <x:c r="D8" s="12" t="str">
        <x:v>Reply date</x:v>
      </x:c>
      <x:c r="E8" s="12" t="str">
        <x:v>Authority confirmed</x:v>
      </x:c>
      <x:c r="F8" s="12" t="str">
        <x:v>Participation confirmed</x:v>
      </x:c>
      <x:c r="G8" s="12" t="str">
        <x:v>Organic media permission</x:v>
      </x:c>
      <x:c r="H8" s="12" t="str">
        <x:v>Unique conversation</x:v>
      </x:c>
      <x:c r="I8" s="12" t="str">
        <x:v>Unique participant</x:v>
      </x:c>
      <x:c r="J8" s="12" t="str">
        <x:v>Evidence reference</x:v>
      </x:c>
      <x:c r="K8" s="13" t="str">
        <x:v>Next action</x:v>
      </x:c>
    </x:row>
    <x:row r="9" ht="23" customHeight="1">
      <x:c r="B9" s="5"/>
      <x:c r="C9" s="5"/>
      <x:c r="D9" s="6"/>
      <x:c r="E9" s="5"/>
      <x:c r="F9" s="5"/>
      <x:c r="G9" s="5"/>
      <x:c r="H9" s="2" t="str">
        <x:f>IF(OR(B9="",NOT(ISNUMBER(D9))),"",IF(COUNTIFS($B$9:B9,B9,$D$9:D9,"&gt;0")=1,1,0))</x:f>
      </x:c>
      <x:c r="I9" s="2" t="str">
        <x:f>IF(B9="","",IF(AND(ISNUMBER(D9),E9="Yes",F9="Yes",G9="Yes",J9&lt;&gt;""),IF(COUNTIFS($B$9:B9,B9,$D$9:D9,"&gt;0",$E$9:E9,"Yes",$F$9:F9,"Yes",$G$9:G9,"Yes",$J$9:J9,"&lt;&gt;")=1,1,0),0))</x:f>
      </x:c>
      <x:c r="J9" s="5"/>
      <x:c r="K9" s="5"/>
    </x:row>
    <x:row r="10" ht="23" customHeight="1">
      <x:c r="B10" s="5"/>
      <x:c r="C10" s="5"/>
      <x:c r="D10" s="6"/>
      <x:c r="E10" s="5"/>
      <x:c r="F10" s="5"/>
      <x:c r="G10" s="5"/>
      <x:c r="H10" s="2" t="str">
        <x:f>IF(OR(B10="",NOT(ISNUMBER(D10))),"",IF(COUNTIFS($B$9:B10,B10,$D$9:D10,"&gt;0")=1,1,0))</x:f>
      </x:c>
      <x:c r="I10" s="2" t="str">
        <x:f>IF(B10="","",IF(AND(ISNUMBER(D10),E10="Yes",F10="Yes",G10="Yes",J10&lt;&gt;""),IF(COUNTIFS($B$9:B10,B10,$D$9:D10,"&gt;0",$E$9:E10,"Yes",$F$9:F10,"Yes",$G$9:G10,"Yes",$J$9:J10,"&lt;&gt;")=1,1,0),0))</x:f>
      </x:c>
      <x:c r="J10" s="5"/>
      <x:c r="K10" s="5"/>
    </x:row>
    <x:row r="11" ht="23" customHeight="1">
      <x:c r="B11" s="5"/>
      <x:c r="C11" s="5"/>
      <x:c r="D11" s="6"/>
      <x:c r="E11" s="5"/>
      <x:c r="F11" s="5"/>
      <x:c r="G11" s="5"/>
      <x:c r="H11" s="2" t="str">
        <x:f>IF(OR(B11="",NOT(ISNUMBER(D11))),"",IF(COUNTIFS($B$9:B11,B11,$D$9:D11,"&gt;0")=1,1,0))</x:f>
      </x:c>
      <x:c r="I11" s="2" t="str">
        <x:f>IF(B11="","",IF(AND(ISNUMBER(D11),E11="Yes",F11="Yes",G11="Yes",J11&lt;&gt;""),IF(COUNTIFS($B$9:B11,B11,$D$9:D11,"&gt;0",$E$9:E11,"Yes",$F$9:F11,"Yes",$G$9:G11,"Yes",$J$9:J11,"&lt;&gt;")=1,1,0),0))</x:f>
      </x:c>
      <x:c r="J11" s="5"/>
      <x:c r="K11" s="5"/>
    </x:row>
    <x:row r="12" ht="23" customHeight="1">
      <x:c r="B12" s="5"/>
      <x:c r="C12" s="5"/>
      <x:c r="D12" s="6"/>
      <x:c r="E12" s="5"/>
      <x:c r="F12" s="5"/>
      <x:c r="G12" s="5"/>
      <x:c r="H12" s="2" t="str">
        <x:f>IF(OR(B12="",NOT(ISNUMBER(D12))),"",IF(COUNTIFS($B$9:B12,B12,$D$9:D12,"&gt;0")=1,1,0))</x:f>
      </x:c>
      <x:c r="I12" s="2" t="str">
        <x:f>IF(B12="","",IF(AND(ISNUMBER(D12),E12="Yes",F12="Yes",G12="Yes",J12&lt;&gt;""),IF(COUNTIFS($B$9:B12,B12,$D$9:D12,"&gt;0",$E$9:E12,"Yes",$F$9:F12,"Yes",$G$9:G12,"Yes",$J$9:J12,"&lt;&gt;")=1,1,0),0))</x:f>
      </x:c>
      <x:c r="J12" s="5"/>
      <x:c r="K12" s="5"/>
    </x:row>
    <x:row r="13" ht="23" customHeight="1">
      <x:c r="B13" s="5"/>
      <x:c r="C13" s="5"/>
      <x:c r="D13" s="6"/>
      <x:c r="E13" s="5"/>
      <x:c r="F13" s="5"/>
      <x:c r="G13" s="5"/>
      <x:c r="H13" s="2" t="str">
        <x:f>IF(OR(B13="",NOT(ISNUMBER(D13))),"",IF(COUNTIFS($B$9:B13,B13,$D$9:D13,"&gt;0")=1,1,0))</x:f>
      </x:c>
      <x:c r="I13" s="2" t="str">
        <x:f>IF(B13="","",IF(AND(ISNUMBER(D13),E13="Yes",F13="Yes",G13="Yes",J13&lt;&gt;""),IF(COUNTIFS($B$9:B13,B13,$D$9:D13,"&gt;0",$E$9:E13,"Yes",$F$9:F13,"Yes",$G$9:G13,"Yes",$J$9:J13,"&lt;&gt;")=1,1,0),0))</x:f>
      </x:c>
      <x:c r="J13" s="5"/>
      <x:c r="K13" s="5"/>
    </x:row>
    <x:row r="14" ht="23" customHeight="1">
      <x:c r="B14" s="5"/>
      <x:c r="C14" s="5"/>
      <x:c r="D14" s="6"/>
      <x:c r="E14" s="5"/>
      <x:c r="F14" s="5"/>
      <x:c r="G14" s="5"/>
      <x:c r="H14" s="2" t="str">
        <x:f>IF(OR(B14="",NOT(ISNUMBER(D14))),"",IF(COUNTIFS($B$9:B14,B14,$D$9:D14,"&gt;0")=1,1,0))</x:f>
      </x:c>
      <x:c r="I14" s="2" t="str">
        <x:f>IF(B14="","",IF(AND(ISNUMBER(D14),E14="Yes",F14="Yes",G14="Yes",J14&lt;&gt;""),IF(COUNTIFS($B$9:B14,B14,$D$9:D14,"&gt;0",$E$9:E14,"Yes",$F$9:F14,"Yes",$G$9:G14,"Yes",$J$9:J14,"&lt;&gt;")=1,1,0),0))</x:f>
      </x:c>
      <x:c r="J14" s="5"/>
      <x:c r="K14" s="5"/>
    </x:row>
    <x:row r="15" ht="23" customHeight="1">
      <x:c r="B15" s="5"/>
      <x:c r="C15" s="5"/>
      <x:c r="D15" s="6"/>
      <x:c r="E15" s="5"/>
      <x:c r="F15" s="5"/>
      <x:c r="G15" s="5"/>
      <x:c r="H15" s="2" t="str">
        <x:f>IF(OR(B15="",NOT(ISNUMBER(D15))),"",IF(COUNTIFS($B$9:B15,B15,$D$9:D15,"&gt;0")=1,1,0))</x:f>
      </x:c>
      <x:c r="I15" s="2" t="str">
        <x:f>IF(B15="","",IF(AND(ISNUMBER(D15),E15="Yes",F15="Yes",G15="Yes",J15&lt;&gt;""),IF(COUNTIFS($B$9:B15,B15,$D$9:D15,"&gt;0",$E$9:E15,"Yes",$F$9:F15,"Yes",$G$9:G15,"Yes",$J$9:J15,"&lt;&gt;")=1,1,0),0))</x:f>
      </x:c>
      <x:c r="J15" s="5"/>
      <x:c r="K15" s="5"/>
    </x:row>
    <x:row r="16" ht="23" customHeight="1">
      <x:c r="B16" s="5"/>
      <x:c r="C16" s="5"/>
      <x:c r="D16" s="6"/>
      <x:c r="E16" s="5"/>
      <x:c r="F16" s="5"/>
      <x:c r="G16" s="5"/>
      <x:c r="H16" s="2" t="str">
        <x:f>IF(OR(B16="",NOT(ISNUMBER(D16))),"",IF(COUNTIFS($B$9:B16,B16,$D$9:D16,"&gt;0")=1,1,0))</x:f>
      </x:c>
      <x:c r="I16" s="2" t="str">
        <x:f>IF(B16="","",IF(AND(ISNUMBER(D16),E16="Yes",F16="Yes",G16="Yes",J16&lt;&gt;""),IF(COUNTIFS($B$9:B16,B16,$D$9:D16,"&gt;0",$E$9:E16,"Yes",$F$9:F16,"Yes",$G$9:G16,"Yes",$J$9:J16,"&lt;&gt;")=1,1,0),0))</x:f>
      </x:c>
      <x:c r="J16" s="5"/>
      <x:c r="K16" s="5"/>
    </x:row>
    <x:row r="17" ht="23" customHeight="1">
      <x:c r="B17" s="5"/>
      <x:c r="C17" s="5"/>
      <x:c r="D17" s="6"/>
      <x:c r="E17" s="5"/>
      <x:c r="F17" s="5"/>
      <x:c r="G17" s="5"/>
      <x:c r="H17" s="2" t="str">
        <x:f>IF(OR(B17="",NOT(ISNUMBER(D17))),"",IF(COUNTIFS($B$9:B17,B17,$D$9:D17,"&gt;0")=1,1,0))</x:f>
      </x:c>
      <x:c r="I17" s="2" t="str">
        <x:f>IF(B17="","",IF(AND(ISNUMBER(D17),E17="Yes",F17="Yes",G17="Yes",J17&lt;&gt;""),IF(COUNTIFS($B$9:B17,B17,$D$9:D17,"&gt;0",$E$9:E17,"Yes",$F$9:F17,"Yes",$G$9:G17,"Yes",$J$9:J17,"&lt;&gt;")=1,1,0),0))</x:f>
      </x:c>
      <x:c r="J17" s="5"/>
      <x:c r="K17" s="5"/>
    </x:row>
    <x:row r="18" ht="23" customHeight="1">
      <x:c r="B18" s="5"/>
      <x:c r="C18" s="5"/>
      <x:c r="D18" s="6"/>
      <x:c r="E18" s="5"/>
      <x:c r="F18" s="5"/>
      <x:c r="G18" s="5"/>
      <x:c r="H18" s="2" t="str">
        <x:f>IF(OR(B18="",NOT(ISNUMBER(D18))),"",IF(COUNTIFS($B$9:B18,B18,$D$9:D18,"&gt;0")=1,1,0))</x:f>
      </x:c>
      <x:c r="I18" s="2" t="str">
        <x:f>IF(B18="","",IF(AND(ISNUMBER(D18),E18="Yes",F18="Yes",G18="Yes",J18&lt;&gt;""),IF(COUNTIFS($B$9:B18,B18,$D$9:D18,"&gt;0",$E$9:E18,"Yes",$F$9:F18,"Yes",$G$9:G18,"Yes",$J$9:J18,"&lt;&gt;")=1,1,0),0))</x:f>
      </x:c>
      <x:c r="J18" s="5"/>
      <x:c r="K18" s="5"/>
    </x:row>
    <x:row r="19" ht="23" customHeight="1">
      <x:c r="B19" s="5"/>
      <x:c r="C19" s="5"/>
      <x:c r="D19" s="6"/>
      <x:c r="E19" s="5"/>
      <x:c r="F19" s="5"/>
      <x:c r="G19" s="5"/>
      <x:c r="H19" s="2" t="str">
        <x:f>IF(OR(B19="",NOT(ISNUMBER(D19))),"",IF(COUNTIFS($B$9:B19,B19,$D$9:D19,"&gt;0")=1,1,0))</x:f>
      </x:c>
      <x:c r="I19" s="2" t="str">
        <x:f>IF(B19="","",IF(AND(ISNUMBER(D19),E19="Yes",F19="Yes",G19="Yes",J19&lt;&gt;""),IF(COUNTIFS($B$9:B19,B19,$D$9:D19,"&gt;0",$E$9:E19,"Yes",$F$9:F19,"Yes",$G$9:G19,"Yes",$J$9:J19,"&lt;&gt;")=1,1,0),0))</x:f>
      </x:c>
      <x:c r="J19" s="5"/>
      <x:c r="K19" s="5"/>
    </x:row>
    <x:row r="20" ht="23" customHeight="1">
      <x:c r="B20" s="5"/>
      <x:c r="C20" s="5"/>
      <x:c r="D20" s="6"/>
      <x:c r="E20" s="5"/>
      <x:c r="F20" s="5"/>
      <x:c r="G20" s="5"/>
      <x:c r="H20" s="2" t="str">
        <x:f>IF(OR(B20="",NOT(ISNUMBER(D20))),"",IF(COUNTIFS($B$9:B20,B20,$D$9:D20,"&gt;0")=1,1,0))</x:f>
      </x:c>
      <x:c r="I20" s="2" t="str">
        <x:f>IF(B20="","",IF(AND(ISNUMBER(D20),E20="Yes",F20="Yes",G20="Yes",J20&lt;&gt;""),IF(COUNTIFS($B$9:B20,B20,$D$9:D20,"&gt;0",$E$9:E20,"Yes",$F$9:F20,"Yes",$G$9:G20,"Yes",$J$9:J20,"&lt;&gt;")=1,1,0),0))</x:f>
      </x:c>
      <x:c r="J20" s="5"/>
      <x:c r="K20" s="5"/>
    </x:row>
    <x:row r="21" ht="23" customHeight="1">
      <x:c r="B21" s="5"/>
      <x:c r="C21" s="5"/>
      <x:c r="D21" s="6"/>
      <x:c r="E21" s="5"/>
      <x:c r="F21" s="5"/>
      <x:c r="G21" s="5"/>
      <x:c r="H21" s="2" t="str">
        <x:f>IF(OR(B21="",NOT(ISNUMBER(D21))),"",IF(COUNTIFS($B$9:B21,B21,$D$9:D21,"&gt;0")=1,1,0))</x:f>
      </x:c>
      <x:c r="I21" s="2" t="str">
        <x:f>IF(B21="","",IF(AND(ISNUMBER(D21),E21="Yes",F21="Yes",G21="Yes",J21&lt;&gt;""),IF(COUNTIFS($B$9:B21,B21,$D$9:D21,"&gt;0",$E$9:E21,"Yes",$F$9:F21,"Yes",$G$9:G21,"Yes",$J$9:J21,"&lt;&gt;")=1,1,0),0))</x:f>
      </x:c>
      <x:c r="J21" s="5"/>
      <x:c r="K21" s="5"/>
    </x:row>
    <x:row r="22" ht="23" customHeight="1">
      <x:c r="B22" s="5"/>
      <x:c r="C22" s="5"/>
      <x:c r="D22" s="6"/>
      <x:c r="E22" s="5"/>
      <x:c r="F22" s="5"/>
      <x:c r="G22" s="5"/>
      <x:c r="H22" s="2" t="str">
        <x:f>IF(OR(B22="",NOT(ISNUMBER(D22))),"",IF(COUNTIFS($B$9:B22,B22,$D$9:D22,"&gt;0")=1,1,0))</x:f>
      </x:c>
      <x:c r="I22" s="2" t="str">
        <x:f>IF(B22="","",IF(AND(ISNUMBER(D22),E22="Yes",F22="Yes",G22="Yes",J22&lt;&gt;""),IF(COUNTIFS($B$9:B22,B22,$D$9:D22,"&gt;0",$E$9:E22,"Yes",$F$9:F22,"Yes",$G$9:G22,"Yes",$J$9:J22,"&lt;&gt;")=1,1,0),0))</x:f>
      </x:c>
      <x:c r="J22" s="5"/>
      <x:c r="K22" s="5"/>
    </x:row>
    <x:row r="23" ht="23" customHeight="1">
      <x:c r="B23" s="5"/>
      <x:c r="C23" s="5"/>
      <x:c r="D23" s="6"/>
      <x:c r="E23" s="5"/>
      <x:c r="F23" s="5"/>
      <x:c r="G23" s="5"/>
      <x:c r="H23" s="2" t="str">
        <x:f>IF(OR(B23="",NOT(ISNUMBER(D23))),"",IF(COUNTIFS($B$9:B23,B23,$D$9:D23,"&gt;0")=1,1,0))</x:f>
      </x:c>
      <x:c r="I23" s="2" t="str">
        <x:f>IF(B23="","",IF(AND(ISNUMBER(D23),E23="Yes",F23="Yes",G23="Yes",J23&lt;&gt;""),IF(COUNTIFS($B$9:B23,B23,$D$9:D23,"&gt;0",$E$9:E23,"Yes",$F$9:F23,"Yes",$G$9:G23,"Yes",$J$9:J23,"&lt;&gt;")=1,1,0),0))</x:f>
      </x:c>
      <x:c r="J23" s="5"/>
      <x:c r="K23" s="5"/>
    </x:row>
    <x:row r="24" ht="23" customHeight="1">
      <x:c r="B24" s="5"/>
      <x:c r="C24" s="5"/>
      <x:c r="D24" s="6"/>
      <x:c r="E24" s="5"/>
      <x:c r="F24" s="5"/>
      <x:c r="G24" s="5"/>
      <x:c r="H24" s="2" t="str">
        <x:f>IF(OR(B24="",NOT(ISNUMBER(D24))),"",IF(COUNTIFS($B$9:B24,B24,$D$9:D24,"&gt;0")=1,1,0))</x:f>
      </x:c>
      <x:c r="I24" s="2" t="str">
        <x:f>IF(B24="","",IF(AND(ISNUMBER(D24),E24="Yes",F24="Yes",G24="Yes",J24&lt;&gt;""),IF(COUNTIFS($B$9:B24,B24,$D$9:D24,"&gt;0",$E$9:E24,"Yes",$F$9:F24,"Yes",$G$9:G24,"Yes",$J$9:J24,"&lt;&gt;")=1,1,0),0))</x:f>
      </x:c>
      <x:c r="J24" s="5"/>
      <x:c r="K24" s="5"/>
    </x:row>
    <x:row r="25" ht="23" customHeight="1">
      <x:c r="B25" s="5"/>
      <x:c r="C25" s="5"/>
      <x:c r="D25" s="6"/>
      <x:c r="E25" s="5"/>
      <x:c r="F25" s="5"/>
      <x:c r="G25" s="5"/>
      <x:c r="H25" s="2" t="str">
        <x:f>IF(OR(B25="",NOT(ISNUMBER(D25))),"",IF(COUNTIFS($B$9:B25,B25,$D$9:D25,"&gt;0")=1,1,0))</x:f>
      </x:c>
      <x:c r="I25" s="2" t="str">
        <x:f>IF(B25="","",IF(AND(ISNUMBER(D25),E25="Yes",F25="Yes",G25="Yes",J25&lt;&gt;""),IF(COUNTIFS($B$9:B25,B25,$D$9:D25,"&gt;0",$E$9:E25,"Yes",$F$9:F25,"Yes",$G$9:G25,"Yes",$J$9:J25,"&lt;&gt;")=1,1,0),0))</x:f>
      </x:c>
      <x:c r="J25" s="5"/>
      <x:c r="K25" s="5"/>
    </x:row>
    <x:row r="26" ht="23" customHeight="1">
      <x:c r="B26" s="5"/>
      <x:c r="C26" s="5"/>
      <x:c r="D26" s="6"/>
      <x:c r="E26" s="5"/>
      <x:c r="F26" s="5"/>
      <x:c r="G26" s="5"/>
      <x:c r="H26" s="2" t="str">
        <x:f>IF(OR(B26="",NOT(ISNUMBER(D26))),"",IF(COUNTIFS($B$9:B26,B26,$D$9:D26,"&gt;0")=1,1,0))</x:f>
      </x:c>
      <x:c r="I26" s="2" t="str">
        <x:f>IF(B26="","",IF(AND(ISNUMBER(D26),E26="Yes",F26="Yes",G26="Yes",J26&lt;&gt;""),IF(COUNTIFS($B$9:B26,B26,$D$9:D26,"&gt;0",$E$9:E26,"Yes",$F$9:F26,"Yes",$G$9:G26,"Yes",$J$9:J26,"&lt;&gt;")=1,1,0),0))</x:f>
      </x:c>
      <x:c r="J26" s="5"/>
      <x:c r="K26" s="5"/>
    </x:row>
    <x:row r="27" ht="23" customHeight="1">
      <x:c r="B27" s="5"/>
      <x:c r="C27" s="5"/>
      <x:c r="D27" s="6"/>
      <x:c r="E27" s="5"/>
      <x:c r="F27" s="5"/>
      <x:c r="G27" s="5"/>
      <x:c r="H27" s="2" t="str">
        <x:f>IF(OR(B27="",NOT(ISNUMBER(D27))),"",IF(COUNTIFS($B$9:B27,B27,$D$9:D27,"&gt;0")=1,1,0))</x:f>
      </x:c>
      <x:c r="I27" s="2" t="str">
        <x:f>IF(B27="","",IF(AND(ISNUMBER(D27),E27="Yes",F27="Yes",G27="Yes",J27&lt;&gt;""),IF(COUNTIFS($B$9:B27,B27,$D$9:D27,"&gt;0",$E$9:E27,"Yes",$F$9:F27,"Yes",$G$9:G27,"Yes",$J$9:J27,"&lt;&gt;")=1,1,0),0))</x:f>
      </x:c>
      <x:c r="J27" s="5"/>
      <x:c r="K27" s="5"/>
    </x:row>
    <x:row r="28" ht="23" customHeight="1">
      <x:c r="B28" s="5"/>
      <x:c r="C28" s="5"/>
      <x:c r="D28" s="6"/>
      <x:c r="E28" s="5"/>
      <x:c r="F28" s="5"/>
      <x:c r="G28" s="5"/>
      <x:c r="H28" s="2" t="str">
        <x:f>IF(OR(B28="",NOT(ISNUMBER(D28))),"",IF(COUNTIFS($B$9:B28,B28,$D$9:D28,"&gt;0")=1,1,0))</x:f>
      </x:c>
      <x:c r="I28" s="2" t="str">
        <x:f>IF(B28="","",IF(AND(ISNUMBER(D28),E28="Yes",F28="Yes",G28="Yes",J28&lt;&gt;""),IF(COUNTIFS($B$9:B28,B28,$D$9:D28,"&gt;0",$E$9:E28,"Yes",$F$9:F28,"Yes",$G$9:G28,"Yes",$J$9:J28,"&lt;&gt;")=1,1,0),0))</x:f>
      </x:c>
      <x:c r="J28" s="5"/>
      <x:c r="K28" s="5"/>
    </x:row>
    <x:row r="29" ht="23" customHeight="1">
      <x:c r="B29" s="5"/>
      <x:c r="C29" s="5"/>
      <x:c r="D29" s="6"/>
      <x:c r="E29" s="5"/>
      <x:c r="F29" s="5"/>
      <x:c r="G29" s="5"/>
      <x:c r="H29" s="2" t="str">
        <x:f>IF(OR(B29="",NOT(ISNUMBER(D29))),"",IF(COUNTIFS($B$9:B29,B29,$D$9:D29,"&gt;0")=1,1,0))</x:f>
      </x:c>
      <x:c r="I29" s="2" t="str">
        <x:f>IF(B29="","",IF(AND(ISNUMBER(D29),E29="Yes",F29="Yes",G29="Yes",J29&lt;&gt;""),IF(COUNTIFS($B$9:B29,B29,$D$9:D29,"&gt;0",$E$9:E29,"Yes",$F$9:F29,"Yes",$G$9:G29,"Yes",$J$9:J29,"&lt;&gt;")=1,1,0),0))</x:f>
      </x:c>
      <x:c r="J29" s="5"/>
      <x:c r="K29" s="5"/>
    </x:row>
    <x:row r="30" ht="23" customHeight="1">
      <x:c r="B30" s="5"/>
      <x:c r="C30" s="5"/>
      <x:c r="D30" s="6"/>
      <x:c r="E30" s="5"/>
      <x:c r="F30" s="5"/>
      <x:c r="G30" s="5"/>
      <x:c r="H30" s="2" t="str">
        <x:f>IF(OR(B30="",NOT(ISNUMBER(D30))),"",IF(COUNTIFS($B$9:B30,B30,$D$9:D30,"&gt;0")=1,1,0))</x:f>
      </x:c>
      <x:c r="I30" s="2" t="str">
        <x:f>IF(B30="","",IF(AND(ISNUMBER(D30),E30="Yes",F30="Yes",G30="Yes",J30&lt;&gt;""),IF(COUNTIFS($B$9:B30,B30,$D$9:D30,"&gt;0",$E$9:E30,"Yes",$F$9:F30,"Yes",$G$9:G30,"Yes",$J$9:J30,"&lt;&gt;")=1,1,0),0))</x:f>
      </x:c>
      <x:c r="J30" s="5"/>
      <x:c r="K30" s="5"/>
    </x:row>
    <x:row r="31" ht="23" customHeight="1">
      <x:c r="B31" s="5"/>
      <x:c r="C31" s="5"/>
      <x:c r="D31" s="6"/>
      <x:c r="E31" s="5"/>
      <x:c r="F31" s="5"/>
      <x:c r="G31" s="5"/>
      <x:c r="H31" s="2" t="str">
        <x:f>IF(OR(B31="",NOT(ISNUMBER(D31))),"",IF(COUNTIFS($B$9:B31,B31,$D$9:D31,"&gt;0")=1,1,0))</x:f>
      </x:c>
      <x:c r="I31" s="2" t="str">
        <x:f>IF(B31="","",IF(AND(ISNUMBER(D31),E31="Yes",F31="Yes",G31="Yes",J31&lt;&gt;""),IF(COUNTIFS($B$9:B31,B31,$D$9:D31,"&gt;0",$E$9:E31,"Yes",$F$9:F31,"Yes",$G$9:G31,"Yes",$J$9:J31,"&lt;&gt;")=1,1,0),0))</x:f>
      </x:c>
      <x:c r="J31" s="5"/>
      <x:c r="K31" s="5"/>
    </x:row>
    <x:row r="32" ht="23" customHeight="1">
      <x:c r="B32" s="5"/>
      <x:c r="C32" s="5"/>
      <x:c r="D32" s="6"/>
      <x:c r="E32" s="5"/>
      <x:c r="F32" s="5"/>
      <x:c r="G32" s="5"/>
      <x:c r="H32" s="2" t="str">
        <x:f>IF(OR(B32="",NOT(ISNUMBER(D32))),"",IF(COUNTIFS($B$9:B32,B32,$D$9:D32,"&gt;0")=1,1,0))</x:f>
      </x:c>
      <x:c r="I32" s="2" t="str">
        <x:f>IF(B32="","",IF(AND(ISNUMBER(D32),E32="Yes",F32="Yes",G32="Yes",J32&lt;&gt;""),IF(COUNTIFS($B$9:B32,B32,$D$9:D32,"&gt;0",$E$9:E32,"Yes",$F$9:F32,"Yes",$G$9:G32,"Yes",$J$9:J32,"&lt;&gt;")=1,1,0),0))</x:f>
      </x:c>
      <x:c r="J32" s="5"/>
      <x:c r="K32" s="5"/>
    </x:row>
    <x:row r="33" ht="23" customHeight="1">
      <x:c r="B33" s="5"/>
      <x:c r="C33" s="5"/>
      <x:c r="D33" s="6"/>
      <x:c r="E33" s="5"/>
      <x:c r="F33" s="5"/>
      <x:c r="G33" s="5"/>
      <x:c r="H33" s="2" t="str">
        <x:f>IF(OR(B33="",NOT(ISNUMBER(D33))),"",IF(COUNTIFS($B$9:B33,B33,$D$9:D33,"&gt;0")=1,1,0))</x:f>
      </x:c>
      <x:c r="I33" s="2" t="str">
        <x:f>IF(B33="","",IF(AND(ISNUMBER(D33),E33="Yes",F33="Yes",G33="Yes",J33&lt;&gt;""),IF(COUNTIFS($B$9:B33,B33,$D$9:D33,"&gt;0",$E$9:E33,"Yes",$F$9:F33,"Yes",$G$9:G33,"Yes",$J$9:J33,"&lt;&gt;")=1,1,0),0))</x:f>
      </x:c>
      <x:c r="J33" s="5"/>
      <x:c r="K33" s="5"/>
    </x:row>
    <x:row r="34" ht="23" customHeight="1">
      <x:c r="B34" s="5"/>
      <x:c r="C34" s="5"/>
      <x:c r="D34" s="6"/>
      <x:c r="E34" s="5"/>
      <x:c r="F34" s="5"/>
      <x:c r="G34" s="5"/>
      <x:c r="H34" s="2" t="str">
        <x:f>IF(OR(B34="",NOT(ISNUMBER(D34))),"",IF(COUNTIFS($B$9:B34,B34,$D$9:D34,"&gt;0")=1,1,0))</x:f>
      </x:c>
      <x:c r="I34" s="2" t="str">
        <x:f>IF(B34="","",IF(AND(ISNUMBER(D34),E34="Yes",F34="Yes",G34="Yes",J34&lt;&gt;""),IF(COUNTIFS($B$9:B34,B34,$D$9:D34,"&gt;0",$E$9:E34,"Yes",$F$9:F34,"Yes",$G$9:G34,"Yes",$J$9:J34,"&lt;&gt;")=1,1,0),0))</x:f>
      </x:c>
      <x:c r="J34" s="5"/>
      <x:c r="K34" s="5"/>
    </x:row>
    <x:row r="35" ht="23" customHeight="1">
      <x:c r="B35" s="5"/>
      <x:c r="C35" s="5"/>
      <x:c r="D35" s="6"/>
      <x:c r="E35" s="5"/>
      <x:c r="F35" s="5"/>
      <x:c r="G35" s="5"/>
      <x:c r="H35" s="2" t="str">
        <x:f>IF(OR(B35="",NOT(ISNUMBER(D35))),"",IF(COUNTIFS($B$9:B35,B35,$D$9:D35,"&gt;0")=1,1,0))</x:f>
      </x:c>
      <x:c r="I35" s="2" t="str">
        <x:f>IF(B35="","",IF(AND(ISNUMBER(D35),E35="Yes",F35="Yes",G35="Yes",J35&lt;&gt;""),IF(COUNTIFS($B$9:B35,B35,$D$9:D35,"&gt;0",$E$9:E35,"Yes",$F$9:F35,"Yes",$G$9:G35,"Yes",$J$9:J35,"&lt;&gt;")=1,1,0),0))</x:f>
      </x:c>
      <x:c r="J35" s="5"/>
      <x:c r="K35" s="5"/>
    </x:row>
    <x:row r="36" ht="23" customHeight="1">
      <x:c r="B36" s="5"/>
      <x:c r="C36" s="5"/>
      <x:c r="D36" s="6"/>
      <x:c r="E36" s="5"/>
      <x:c r="F36" s="5"/>
      <x:c r="G36" s="5"/>
      <x:c r="H36" s="2" t="str">
        <x:f>IF(OR(B36="",NOT(ISNUMBER(D36))),"",IF(COUNTIFS($B$9:B36,B36,$D$9:D36,"&gt;0")=1,1,0))</x:f>
      </x:c>
      <x:c r="I36" s="2" t="str">
        <x:f>IF(B36="","",IF(AND(ISNUMBER(D36),E36="Yes",F36="Yes",G36="Yes",J36&lt;&gt;""),IF(COUNTIFS($B$9:B36,B36,$D$9:D36,"&gt;0",$E$9:E36,"Yes",$F$9:F36,"Yes",$G$9:G36,"Yes",$J$9:J36,"&lt;&gt;")=1,1,0),0))</x:f>
      </x:c>
      <x:c r="J36" s="5"/>
      <x:c r="K36" s="5"/>
    </x:row>
    <x:row r="37" ht="23" customHeight="1">
      <x:c r="B37" s="5"/>
      <x:c r="C37" s="5"/>
      <x:c r="D37" s="6"/>
      <x:c r="E37" s="5"/>
      <x:c r="F37" s="5"/>
      <x:c r="G37" s="5"/>
      <x:c r="H37" s="2" t="str">
        <x:f>IF(OR(B37="",NOT(ISNUMBER(D37))),"",IF(COUNTIFS($B$9:B37,B37,$D$9:D37,"&gt;0")=1,1,0))</x:f>
      </x:c>
      <x:c r="I37" s="2" t="str">
        <x:f>IF(B37="","",IF(AND(ISNUMBER(D37),E37="Yes",F37="Yes",G37="Yes",J37&lt;&gt;""),IF(COUNTIFS($B$9:B37,B37,$D$9:D37,"&gt;0",$E$9:E37,"Yes",$F$9:F37,"Yes",$G$9:G37,"Yes",$J$9:J37,"&lt;&gt;")=1,1,0),0))</x:f>
      </x:c>
      <x:c r="J37" s="5"/>
      <x:c r="K37" s="5"/>
    </x:row>
    <x:row r="38" ht="23" customHeight="1">
      <x:c r="B38" s="5"/>
      <x:c r="C38" s="5"/>
      <x:c r="D38" s="6"/>
      <x:c r="E38" s="5"/>
      <x:c r="F38" s="5"/>
      <x:c r="G38" s="5"/>
      <x:c r="H38" s="2" t="str">
        <x:f>IF(OR(B38="",NOT(ISNUMBER(D38))),"",IF(COUNTIFS($B$9:B38,B38,$D$9:D38,"&gt;0")=1,1,0))</x:f>
      </x:c>
      <x:c r="I38" s="2" t="str">
        <x:f>IF(B38="","",IF(AND(ISNUMBER(D38),E38="Yes",F38="Yes",G38="Yes",J38&lt;&gt;""),IF(COUNTIFS($B$9:B38,B38,$D$9:D38,"&gt;0",$E$9:E38,"Yes",$F$9:F38,"Yes",$G$9:G38,"Yes",$J$9:J38,"&lt;&gt;")=1,1,0),0))</x:f>
      </x:c>
      <x:c r="J38" s="5"/>
      <x:c r="K38" s="5"/>
    </x:row>
    <x:row r="39" ht="23" customHeight="1">
      <x:c r="B39" s="5"/>
      <x:c r="C39" s="5"/>
      <x:c r="D39" s="6"/>
      <x:c r="E39" s="5"/>
      <x:c r="F39" s="5"/>
      <x:c r="G39" s="5"/>
      <x:c r="H39" s="2" t="str">
        <x:f>IF(OR(B39="",NOT(ISNUMBER(D39))),"",IF(COUNTIFS($B$9:B39,B39,$D$9:D39,"&gt;0")=1,1,0))</x:f>
      </x:c>
      <x:c r="I39" s="2" t="str">
        <x:f>IF(B39="","",IF(AND(ISNUMBER(D39),E39="Yes",F39="Yes",G39="Yes",J39&lt;&gt;""),IF(COUNTIFS($B$9:B39,B39,$D$9:D39,"&gt;0",$E$9:E39,"Yes",$F$9:F39,"Yes",$G$9:G39,"Yes",$J$9:J39,"&lt;&gt;")=1,1,0),0))</x:f>
      </x:c>
      <x:c r="J39" s="5"/>
      <x:c r="K39" s="5"/>
    </x:row>
    <x:row r="40" ht="23" customHeight="1">
      <x:c r="B40" s="5"/>
      <x:c r="C40" s="5"/>
      <x:c r="D40" s="6"/>
      <x:c r="E40" s="5"/>
      <x:c r="F40" s="5"/>
      <x:c r="G40" s="5"/>
      <x:c r="H40" s="2" t="str">
        <x:f>IF(OR(B40="",NOT(ISNUMBER(D40))),"",IF(COUNTIFS($B$9:B40,B40,$D$9:D40,"&gt;0")=1,1,0))</x:f>
      </x:c>
      <x:c r="I40" s="2" t="str">
        <x:f>IF(B40="","",IF(AND(ISNUMBER(D40),E40="Yes",F40="Yes",G40="Yes",J40&lt;&gt;""),IF(COUNTIFS($B$9:B40,B40,$D$9:D40,"&gt;0",$E$9:E40,"Yes",$F$9:F40,"Yes",$G$9:G40,"Yes",$J$9:J40,"&lt;&gt;")=1,1,0),0))</x:f>
      </x:c>
      <x:c r="J40" s="5"/>
      <x:c r="K40" s="5"/>
    </x:row>
    <x:row r="41" ht="23" customHeight="1">
      <x:c r="B41" s="5"/>
      <x:c r="C41" s="5"/>
      <x:c r="D41" s="6"/>
      <x:c r="E41" s="5"/>
      <x:c r="F41" s="5"/>
      <x:c r="G41" s="5"/>
      <x:c r="H41" s="2" t="str">
        <x:f>IF(OR(B41="",NOT(ISNUMBER(D41))),"",IF(COUNTIFS($B$9:B41,B41,$D$9:D41,"&gt;0")=1,1,0))</x:f>
      </x:c>
      <x:c r="I41" s="2" t="str">
        <x:f>IF(B41="","",IF(AND(ISNUMBER(D41),E41="Yes",F41="Yes",G41="Yes",J41&lt;&gt;""),IF(COUNTIFS($B$9:B41,B41,$D$9:D41,"&gt;0",$E$9:E41,"Yes",$F$9:F41,"Yes",$G$9:G41,"Yes",$J$9:J41,"&lt;&gt;")=1,1,0),0))</x:f>
      </x:c>
      <x:c r="J41" s="5"/>
      <x:c r="K41" s="5"/>
    </x:row>
    <x:row r="42" ht="23" customHeight="1">
      <x:c r="B42" s="5"/>
      <x:c r="C42" s="5"/>
      <x:c r="D42" s="6"/>
      <x:c r="E42" s="5"/>
      <x:c r="F42" s="5"/>
      <x:c r="G42" s="5"/>
      <x:c r="H42" s="2" t="str">
        <x:f>IF(OR(B42="",NOT(ISNUMBER(D42))),"",IF(COUNTIFS($B$9:B42,B42,$D$9:D42,"&gt;0")=1,1,0))</x:f>
      </x:c>
      <x:c r="I42" s="2" t="str">
        <x:f>IF(B42="","",IF(AND(ISNUMBER(D42),E42="Yes",F42="Yes",G42="Yes",J42&lt;&gt;""),IF(COUNTIFS($B$9:B42,B42,$D$9:D42,"&gt;0",$E$9:E42,"Yes",$F$9:F42,"Yes",$G$9:G42,"Yes",$J$9:J42,"&lt;&gt;")=1,1,0),0))</x:f>
      </x:c>
      <x:c r="J42" s="5"/>
      <x:c r="K42" s="5"/>
    </x:row>
    <x:row r="43" ht="23" customHeight="1">
      <x:c r="B43" s="5"/>
      <x:c r="C43" s="5"/>
      <x:c r="D43" s="6"/>
      <x:c r="E43" s="5"/>
      <x:c r="F43" s="5"/>
      <x:c r="G43" s="5"/>
      <x:c r="H43" s="2" t="str">
        <x:f>IF(OR(B43="",NOT(ISNUMBER(D43))),"",IF(COUNTIFS($B$9:B43,B43,$D$9:D43,"&gt;0")=1,1,0))</x:f>
      </x:c>
      <x:c r="I43" s="2" t="str">
        <x:f>IF(B43="","",IF(AND(ISNUMBER(D43),E43="Yes",F43="Yes",G43="Yes",J43&lt;&gt;""),IF(COUNTIFS($B$9:B43,B43,$D$9:D43,"&gt;0",$E$9:E43,"Yes",$F$9:F43,"Yes",$G$9:G43,"Yes",$J$9:J43,"&lt;&gt;")=1,1,0),0))</x:f>
      </x:c>
      <x:c r="J43" s="5"/>
      <x:c r="K43" s="5"/>
    </x:row>
    <x:row r="44" ht="23" customHeight="1">
      <x:c r="B44" s="5"/>
      <x:c r="C44" s="5"/>
      <x:c r="D44" s="6"/>
      <x:c r="E44" s="5"/>
      <x:c r="F44" s="5"/>
      <x:c r="G44" s="5"/>
      <x:c r="H44" s="2" t="str">
        <x:f>IF(OR(B44="",NOT(ISNUMBER(D44))),"",IF(COUNTIFS($B$9:B44,B44,$D$9:D44,"&gt;0")=1,1,0))</x:f>
      </x:c>
      <x:c r="I44" s="2" t="str">
        <x:f>IF(B44="","",IF(AND(ISNUMBER(D44),E44="Yes",F44="Yes",G44="Yes",J44&lt;&gt;""),IF(COUNTIFS($B$9:B44,B44,$D$9:D44,"&gt;0",$E$9:E44,"Yes",$F$9:F44,"Yes",$G$9:G44,"Yes",$J$9:J44,"&lt;&gt;")=1,1,0),0))</x:f>
      </x:c>
      <x:c r="J44" s="5"/>
      <x:c r="K44" s="5"/>
    </x:row>
    <x:row r="45" ht="23" customHeight="1">
      <x:c r="B45" s="5"/>
      <x:c r="C45" s="5"/>
      <x:c r="D45" s="6"/>
      <x:c r="E45" s="5"/>
      <x:c r="F45" s="5"/>
      <x:c r="G45" s="5"/>
      <x:c r="H45" s="2" t="str">
        <x:f>IF(OR(B45="",NOT(ISNUMBER(D45))),"",IF(COUNTIFS($B$9:B45,B45,$D$9:D45,"&gt;0")=1,1,0))</x:f>
      </x:c>
      <x:c r="I45" s="2" t="str">
        <x:f>IF(B45="","",IF(AND(ISNUMBER(D45),E45="Yes",F45="Yes",G45="Yes",J45&lt;&gt;""),IF(COUNTIFS($B$9:B45,B45,$D$9:D45,"&gt;0",$E$9:E45,"Yes",$F$9:F45,"Yes",$G$9:G45,"Yes",$J$9:J45,"&lt;&gt;")=1,1,0),0))</x:f>
      </x:c>
      <x:c r="J45" s="5"/>
      <x:c r="K45" s="5"/>
    </x:row>
    <x:row r="46" ht="23" customHeight="1">
      <x:c r="B46" s="5"/>
      <x:c r="C46" s="5"/>
      <x:c r="D46" s="6"/>
      <x:c r="E46" s="5"/>
      <x:c r="F46" s="5"/>
      <x:c r="G46" s="5"/>
      <x:c r="H46" s="2" t="str">
        <x:f>IF(OR(B46="",NOT(ISNUMBER(D46))),"",IF(COUNTIFS($B$9:B46,B46,$D$9:D46,"&gt;0")=1,1,0))</x:f>
      </x:c>
      <x:c r="I46" s="2" t="str">
        <x:f>IF(B46="","",IF(AND(ISNUMBER(D46),E46="Yes",F46="Yes",G46="Yes",J46&lt;&gt;""),IF(COUNTIFS($B$9:B46,B46,$D$9:D46,"&gt;0",$E$9:E46,"Yes",$F$9:F46,"Yes",$G$9:G46,"Yes",$J$9:J46,"&lt;&gt;")=1,1,0),0))</x:f>
      </x:c>
      <x:c r="J46" s="5"/>
      <x:c r="K46" s="5"/>
    </x:row>
    <x:row r="47" ht="23" customHeight="1">
      <x:c r="B47" s="5"/>
      <x:c r="C47" s="5"/>
      <x:c r="D47" s="6"/>
      <x:c r="E47" s="5"/>
      <x:c r="F47" s="5"/>
      <x:c r="G47" s="5"/>
      <x:c r="H47" s="2" t="str">
        <x:f>IF(OR(B47="",NOT(ISNUMBER(D47))),"",IF(COUNTIFS($B$9:B47,B47,$D$9:D47,"&gt;0")=1,1,0))</x:f>
      </x:c>
      <x:c r="I47" s="2" t="str">
        <x:f>IF(B47="","",IF(AND(ISNUMBER(D47),E47="Yes",F47="Yes",G47="Yes",J47&lt;&gt;""),IF(COUNTIFS($B$9:B47,B47,$D$9:D47,"&gt;0",$E$9:E47,"Yes",$F$9:F47,"Yes",$G$9:G47,"Yes",$J$9:J47,"&lt;&gt;")=1,1,0),0))</x:f>
      </x:c>
      <x:c r="J47" s="5"/>
      <x:c r="K47" s="5"/>
    </x:row>
    <x:row r="48" ht="23" customHeight="1">
      <x:c r="B48" s="5"/>
      <x:c r="C48" s="5"/>
      <x:c r="D48" s="6"/>
      <x:c r="E48" s="5"/>
      <x:c r="F48" s="5"/>
      <x:c r="G48" s="5"/>
      <x:c r="H48" s="2" t="str">
        <x:f>IF(OR(B48="",NOT(ISNUMBER(D48))),"",IF(COUNTIFS($B$9:B48,B48,$D$9:D48,"&gt;0")=1,1,0))</x:f>
      </x:c>
      <x:c r="I48" s="2" t="str">
        <x:f>IF(B48="","",IF(AND(ISNUMBER(D48),E48="Yes",F48="Yes",G48="Yes",J48&lt;&gt;""),IF(COUNTIFS($B$9:B48,B48,$D$9:D48,"&gt;0",$E$9:E48,"Yes",$F$9:F48,"Yes",$G$9:G48,"Yes",$J$9:J48,"&lt;&gt;")=1,1,0),0))</x:f>
      </x:c>
      <x:c r="J48" s="5"/>
      <x:c r="K48" s="5"/>
    </x:row>
    <x:row r="49" ht="23" customHeight="1">
      <x:c r="B49" s="5"/>
      <x:c r="C49" s="5"/>
      <x:c r="D49" s="6"/>
      <x:c r="E49" s="5"/>
      <x:c r="F49" s="5"/>
      <x:c r="G49" s="5"/>
      <x:c r="H49" s="2" t="str">
        <x:f>IF(OR(B49="",NOT(ISNUMBER(D49))),"",IF(COUNTIFS($B$9:B49,B49,$D$9:D49,"&gt;0")=1,1,0))</x:f>
      </x:c>
      <x:c r="I49" s="2" t="str">
        <x:f>IF(B49="","",IF(AND(ISNUMBER(D49),E49="Yes",F49="Yes",G49="Yes",J49&lt;&gt;""),IF(COUNTIFS($B$9:B49,B49,$D$9:D49,"&gt;0",$E$9:E49,"Yes",$F$9:F49,"Yes",$G$9:G49,"Yes",$J$9:J49,"&lt;&gt;")=1,1,0),0))</x:f>
      </x:c>
      <x:c r="J49" s="5"/>
      <x:c r="K49" s="5"/>
    </x:row>
    <x:row r="50" ht="23" customHeight="1">
      <x:c r="B50" s="5"/>
      <x:c r="C50" s="5"/>
      <x:c r="D50" s="6"/>
      <x:c r="E50" s="5"/>
      <x:c r="F50" s="5"/>
      <x:c r="G50" s="5"/>
      <x:c r="H50" s="2" t="str">
        <x:f>IF(OR(B50="",NOT(ISNUMBER(D50))),"",IF(COUNTIFS($B$9:B50,B50,$D$9:D50,"&gt;0")=1,1,0))</x:f>
      </x:c>
      <x:c r="I50" s="2" t="str">
        <x:f>IF(B50="","",IF(AND(ISNUMBER(D50),E50="Yes",F50="Yes",G50="Yes",J50&lt;&gt;""),IF(COUNTIFS($B$9:B50,B50,$D$9:D50,"&gt;0",$E$9:E50,"Yes",$F$9:F50,"Yes",$G$9:G50,"Yes",$J$9:J50,"&lt;&gt;")=1,1,0),0))</x:f>
      </x:c>
      <x:c r="J50" s="5"/>
      <x:c r="K50" s="5"/>
    </x:row>
    <x:row r="51" ht="23" customHeight="1">
      <x:c r="B51" s="5"/>
      <x:c r="C51" s="5"/>
      <x:c r="D51" s="6"/>
      <x:c r="E51" s="5"/>
      <x:c r="F51" s="5"/>
      <x:c r="G51" s="5"/>
      <x:c r="H51" s="2" t="str">
        <x:f>IF(OR(B51="",NOT(ISNUMBER(D51))),"",IF(COUNTIFS($B$9:B51,B51,$D$9:D51,"&gt;0")=1,1,0))</x:f>
      </x:c>
      <x:c r="I51" s="2" t="str">
        <x:f>IF(B51="","",IF(AND(ISNUMBER(D51),E51="Yes",F51="Yes",G51="Yes",J51&lt;&gt;""),IF(COUNTIFS($B$9:B51,B51,$D$9:D51,"&gt;0",$E$9:E51,"Yes",$F$9:F51,"Yes",$G$9:G51,"Yes",$J$9:J51,"&lt;&gt;")=1,1,0),0))</x:f>
      </x:c>
      <x:c r="J51" s="5"/>
      <x:c r="K51" s="5"/>
    </x:row>
    <x:row r="52" ht="23" customHeight="1">
      <x:c r="B52" s="5"/>
      <x:c r="C52" s="5"/>
      <x:c r="D52" s="6"/>
      <x:c r="E52" s="5"/>
      <x:c r="F52" s="5"/>
      <x:c r="G52" s="5"/>
      <x:c r="H52" s="2" t="str">
        <x:f>IF(OR(B52="",NOT(ISNUMBER(D52))),"",IF(COUNTIFS($B$9:B52,B52,$D$9:D52,"&gt;0")=1,1,0))</x:f>
      </x:c>
      <x:c r="I52" s="2" t="str">
        <x:f>IF(B52="","",IF(AND(ISNUMBER(D52),E52="Yes",F52="Yes",G52="Yes",J52&lt;&gt;""),IF(COUNTIFS($B$9:B52,B52,$D$9:D52,"&gt;0",$E$9:E52,"Yes",$F$9:F52,"Yes",$G$9:G52,"Yes",$J$9:J52,"&lt;&gt;")=1,1,0),0))</x:f>
      </x:c>
      <x:c r="J52" s="5"/>
      <x:c r="K52" s="5"/>
    </x:row>
    <x:row r="53" ht="23" customHeight="1">
      <x:c r="B53" s="5"/>
      <x:c r="C53" s="5"/>
      <x:c r="D53" s="6"/>
      <x:c r="E53" s="5"/>
      <x:c r="F53" s="5"/>
      <x:c r="G53" s="5"/>
      <x:c r="H53" s="2" t="str">
        <x:f>IF(OR(B53="",NOT(ISNUMBER(D53))),"",IF(COUNTIFS($B$9:B53,B53,$D$9:D53,"&gt;0")=1,1,0))</x:f>
      </x:c>
      <x:c r="I53" s="2" t="str">
        <x:f>IF(B53="","",IF(AND(ISNUMBER(D53),E53="Yes",F53="Yes",G53="Yes",J53&lt;&gt;""),IF(COUNTIFS($B$9:B53,B53,$D$9:D53,"&gt;0",$E$9:E53,"Yes",$F$9:F53,"Yes",$G$9:G53,"Yes",$J$9:J53,"&lt;&gt;")=1,1,0),0))</x:f>
      </x:c>
      <x:c r="J53" s="5"/>
      <x:c r="K53" s="5"/>
    </x:row>
    <x:row r="54" ht="23" customHeight="1">
      <x:c r="B54" s="5"/>
      <x:c r="C54" s="5"/>
      <x:c r="D54" s="6"/>
      <x:c r="E54" s="5"/>
      <x:c r="F54" s="5"/>
      <x:c r="G54" s="5"/>
      <x:c r="H54" s="2" t="str">
        <x:f>IF(OR(B54="",NOT(ISNUMBER(D54))),"",IF(COUNTIFS($B$9:B54,B54,$D$9:D54,"&gt;0")=1,1,0))</x:f>
      </x:c>
      <x:c r="I54" s="2" t="str">
        <x:f>IF(B54="","",IF(AND(ISNUMBER(D54),E54="Yes",F54="Yes",G54="Yes",J54&lt;&gt;""),IF(COUNTIFS($B$9:B54,B54,$D$9:D54,"&gt;0",$E$9:E54,"Yes",$F$9:F54,"Yes",$G$9:G54,"Yes",$J$9:J54,"&lt;&gt;")=1,1,0),0))</x:f>
      </x:c>
      <x:c r="J54" s="5"/>
      <x:c r="K54" s="5"/>
    </x:row>
    <x:row r="55" ht="23" customHeight="1">
      <x:c r="B55" s="5"/>
      <x:c r="C55" s="5"/>
      <x:c r="D55" s="6"/>
      <x:c r="E55" s="5"/>
      <x:c r="F55" s="5"/>
      <x:c r="G55" s="5"/>
      <x:c r="H55" s="2" t="str">
        <x:f>IF(OR(B55="",NOT(ISNUMBER(D55))),"",IF(COUNTIFS($B$9:B55,B55,$D$9:D55,"&gt;0")=1,1,0))</x:f>
      </x:c>
      <x:c r="I55" s="2" t="str">
        <x:f>IF(B55="","",IF(AND(ISNUMBER(D55),E55="Yes",F55="Yes",G55="Yes",J55&lt;&gt;""),IF(COUNTIFS($B$9:B55,B55,$D$9:D55,"&gt;0",$E$9:E55,"Yes",$F$9:F55,"Yes",$G$9:G55,"Yes",$J$9:J55,"&lt;&gt;")=1,1,0),0))</x:f>
      </x:c>
      <x:c r="J55" s="5"/>
      <x:c r="K55" s="5"/>
    </x:row>
    <x:row r="56" ht="23" customHeight="1">
      <x:c r="B56" s="5"/>
      <x:c r="C56" s="5"/>
      <x:c r="D56" s="6"/>
      <x:c r="E56" s="5"/>
      <x:c r="F56" s="5"/>
      <x:c r="G56" s="5"/>
      <x:c r="H56" s="2" t="str">
        <x:f>IF(OR(B56="",NOT(ISNUMBER(D56))),"",IF(COUNTIFS($B$9:B56,B56,$D$9:D56,"&gt;0")=1,1,0))</x:f>
      </x:c>
      <x:c r="I56" s="2" t="str">
        <x:f>IF(B56="","",IF(AND(ISNUMBER(D56),E56="Yes",F56="Yes",G56="Yes",J56&lt;&gt;""),IF(COUNTIFS($B$9:B56,B56,$D$9:D56,"&gt;0",$E$9:E56,"Yes",$F$9:F56,"Yes",$G$9:G56,"Yes",$J$9:J56,"&lt;&gt;")=1,1,0),0))</x:f>
      </x:c>
      <x:c r="J56" s="5"/>
      <x:c r="K56" s="5"/>
    </x:row>
    <x:row r="57" ht="23" customHeight="1">
      <x:c r="B57" s="5"/>
      <x:c r="C57" s="5"/>
      <x:c r="D57" s="6"/>
      <x:c r="E57" s="5"/>
      <x:c r="F57" s="5"/>
      <x:c r="G57" s="5"/>
      <x:c r="H57" s="2" t="str">
        <x:f>IF(OR(B57="",NOT(ISNUMBER(D57))),"",IF(COUNTIFS($B$9:B57,B57,$D$9:D57,"&gt;0")=1,1,0))</x:f>
      </x:c>
      <x:c r="I57" s="2" t="str">
        <x:f>IF(B57="","",IF(AND(ISNUMBER(D57),E57="Yes",F57="Yes",G57="Yes",J57&lt;&gt;""),IF(COUNTIFS($B$9:B57,B57,$D$9:D57,"&gt;0",$E$9:E57,"Yes",$F$9:F57,"Yes",$G$9:G57,"Yes",$J$9:J57,"&lt;&gt;")=1,1,0),0))</x:f>
      </x:c>
      <x:c r="J57" s="5"/>
      <x:c r="K57" s="5"/>
    </x:row>
    <x:row r="58" ht="23" customHeight="1">
      <x:c r="B58" s="5"/>
      <x:c r="C58" s="5"/>
      <x:c r="D58" s="6"/>
      <x:c r="E58" s="5"/>
      <x:c r="F58" s="5"/>
      <x:c r="G58" s="5"/>
      <x:c r="H58" s="2" t="str">
        <x:f>IF(OR(B58="",NOT(ISNUMBER(D58))),"",IF(COUNTIFS($B$9:B58,B58,$D$9:D58,"&gt;0")=1,1,0))</x:f>
      </x:c>
      <x:c r="I58" s="2" t="str">
        <x:f>IF(B58="","",IF(AND(ISNUMBER(D58),E58="Yes",F58="Yes",G58="Yes",J58&lt;&gt;""),IF(COUNTIFS($B$9:B58,B58,$D$9:D58,"&gt;0",$E$9:E58,"Yes",$F$9:F58,"Yes",$G$9:G58,"Yes",$J$9:J58,"&lt;&gt;")=1,1,0),0))</x:f>
      </x:c>
      <x:c r="J58" s="5"/>
      <x:c r="K58" s="5"/>
    </x:row>
    <x:row r="59" ht="23" customHeight="1">
      <x:c r="B59" s="5"/>
      <x:c r="C59" s="5"/>
      <x:c r="D59" s="6"/>
      <x:c r="E59" s="5"/>
      <x:c r="F59" s="5"/>
      <x:c r="G59" s="5"/>
      <x:c r="H59" s="2" t="str">
        <x:f>IF(OR(B59="",NOT(ISNUMBER(D59))),"",IF(COUNTIFS($B$9:B59,B59,$D$9:D59,"&gt;0")=1,1,0))</x:f>
      </x:c>
      <x:c r="I59" s="2" t="str">
        <x:f>IF(B59="","",IF(AND(ISNUMBER(D59),E59="Yes",F59="Yes",G59="Yes",J59&lt;&gt;""),IF(COUNTIFS($B$9:B59,B59,$D$9:D59,"&gt;0",$E$9:E59,"Yes",$F$9:F59,"Yes",$G$9:G59,"Yes",$J$9:J59,"&lt;&gt;")=1,1,0),0))</x:f>
      </x:c>
      <x:c r="J59" s="5"/>
      <x:c r="K59" s="5"/>
    </x:row>
    <x:row r="60" ht="23" customHeight="1">
      <x:c r="B60" s="5"/>
      <x:c r="C60" s="5"/>
      <x:c r="D60" s="6"/>
      <x:c r="E60" s="5"/>
      <x:c r="F60" s="5"/>
      <x:c r="G60" s="5"/>
      <x:c r="H60" s="2" t="str">
        <x:f>IF(OR(B60="",NOT(ISNUMBER(D60))),"",IF(COUNTIFS($B$9:B60,B60,$D$9:D60,"&gt;0")=1,1,0))</x:f>
      </x:c>
      <x:c r="I60" s="2" t="str">
        <x:f>IF(B60="","",IF(AND(ISNUMBER(D60),E60="Yes",F60="Yes",G60="Yes",J60&lt;&gt;""),IF(COUNTIFS($B$9:B60,B60,$D$9:D60,"&gt;0",$E$9:E60,"Yes",$F$9:F60,"Yes",$G$9:G60,"Yes",$J$9:J60,"&lt;&gt;")=1,1,0),0))</x:f>
      </x:c>
      <x:c r="J60" s="5"/>
      <x:c r="K60" s="5"/>
    </x:row>
    <x:row r="61" ht="23" customHeight="1">
      <x:c r="B61" s="5"/>
      <x:c r="C61" s="5"/>
      <x:c r="D61" s="6"/>
      <x:c r="E61" s="5"/>
      <x:c r="F61" s="5"/>
      <x:c r="G61" s="5"/>
      <x:c r="H61" s="2" t="str">
        <x:f>IF(OR(B61="",NOT(ISNUMBER(D61))),"",IF(COUNTIFS($B$9:B61,B61,$D$9:D61,"&gt;0")=1,1,0))</x:f>
      </x:c>
      <x:c r="I61" s="2" t="str">
        <x:f>IF(B61="","",IF(AND(ISNUMBER(D61),E61="Yes",F61="Yes",G61="Yes",J61&lt;&gt;""),IF(COUNTIFS($B$9:B61,B61,$D$9:D61,"&gt;0",$E$9:E61,"Yes",$F$9:F61,"Yes",$G$9:G61,"Yes",$J$9:J61,"&lt;&gt;")=1,1,0),0))</x:f>
      </x:c>
      <x:c r="J61" s="5"/>
      <x:c r="K61" s="5"/>
    </x:row>
    <x:row r="62" ht="23" customHeight="1">
      <x:c r="B62" s="5"/>
      <x:c r="C62" s="5"/>
      <x:c r="D62" s="6"/>
      <x:c r="E62" s="5"/>
      <x:c r="F62" s="5"/>
      <x:c r="G62" s="5"/>
      <x:c r="H62" s="2" t="str">
        <x:f>IF(OR(B62="",NOT(ISNUMBER(D62))),"",IF(COUNTIFS($B$9:B62,B62,$D$9:D62,"&gt;0")=1,1,0))</x:f>
      </x:c>
      <x:c r="I62" s="2" t="str">
        <x:f>IF(B62="","",IF(AND(ISNUMBER(D62),E62="Yes",F62="Yes",G62="Yes",J62&lt;&gt;""),IF(COUNTIFS($B$9:B62,B62,$D$9:D62,"&gt;0",$E$9:E62,"Yes",$F$9:F62,"Yes",$G$9:G62,"Yes",$J$9:J62,"&lt;&gt;")=1,1,0),0))</x:f>
      </x:c>
      <x:c r="J62" s="5"/>
      <x:c r="K62" s="5"/>
    </x:row>
    <x:row r="63" ht="23" customHeight="1">
      <x:c r="B63" s="5"/>
      <x:c r="C63" s="5"/>
      <x:c r="D63" s="6"/>
      <x:c r="E63" s="5"/>
      <x:c r="F63" s="5"/>
      <x:c r="G63" s="5"/>
      <x:c r="H63" s="2" t="str">
        <x:f>IF(OR(B63="",NOT(ISNUMBER(D63))),"",IF(COUNTIFS($B$9:B63,B63,$D$9:D63,"&gt;0")=1,1,0))</x:f>
      </x:c>
      <x:c r="I63" s="2" t="str">
        <x:f>IF(B63="","",IF(AND(ISNUMBER(D63),E63="Yes",F63="Yes",G63="Yes",J63&lt;&gt;""),IF(COUNTIFS($B$9:B63,B63,$D$9:D63,"&gt;0",$E$9:E63,"Yes",$F$9:F63,"Yes",$G$9:G63,"Yes",$J$9:J63,"&lt;&gt;")=1,1,0),0))</x:f>
      </x:c>
      <x:c r="J63" s="5"/>
      <x:c r="K63" s="5"/>
    </x:row>
    <x:row r="64" ht="23" customHeight="1">
      <x:c r="B64" s="5"/>
      <x:c r="C64" s="5"/>
      <x:c r="D64" s="6"/>
      <x:c r="E64" s="5"/>
      <x:c r="F64" s="5"/>
      <x:c r="G64" s="5"/>
      <x:c r="H64" s="2" t="str">
        <x:f>IF(OR(B64="",NOT(ISNUMBER(D64))),"",IF(COUNTIFS($B$9:B64,B64,$D$9:D64,"&gt;0")=1,1,0))</x:f>
      </x:c>
      <x:c r="I64" s="2" t="str">
        <x:f>IF(B64="","",IF(AND(ISNUMBER(D64),E64="Yes",F64="Yes",G64="Yes",J64&lt;&gt;""),IF(COUNTIFS($B$9:B64,B64,$D$9:D64,"&gt;0",$E$9:E64,"Yes",$F$9:F64,"Yes",$G$9:G64,"Yes",$J$9:J64,"&lt;&gt;")=1,1,0),0))</x:f>
      </x:c>
      <x:c r="J64" s="5"/>
      <x:c r="K64" s="5"/>
    </x:row>
    <x:row r="65" ht="23" customHeight="1">
      <x:c r="B65" s="5"/>
      <x:c r="C65" s="5"/>
      <x:c r="D65" s="6"/>
      <x:c r="E65" s="5"/>
      <x:c r="F65" s="5"/>
      <x:c r="G65" s="5"/>
      <x:c r="H65" s="2" t="str">
        <x:f>IF(OR(B65="",NOT(ISNUMBER(D65))),"",IF(COUNTIFS($B$9:B65,B65,$D$9:D65,"&gt;0")=1,1,0))</x:f>
      </x:c>
      <x:c r="I65" s="2" t="str">
        <x:f>IF(B65="","",IF(AND(ISNUMBER(D65),E65="Yes",F65="Yes",G65="Yes",J65&lt;&gt;""),IF(COUNTIFS($B$9:B65,B65,$D$9:D65,"&gt;0",$E$9:E65,"Yes",$F$9:F65,"Yes",$G$9:G65,"Yes",$J$9:J65,"&lt;&gt;")=1,1,0),0))</x:f>
      </x:c>
      <x:c r="J65" s="5"/>
      <x:c r="K65" s="5"/>
    </x:row>
    <x:row r="66" ht="23" customHeight="1">
      <x:c r="B66" s="5"/>
      <x:c r="C66" s="5"/>
      <x:c r="D66" s="6"/>
      <x:c r="E66" s="5"/>
      <x:c r="F66" s="5"/>
      <x:c r="G66" s="5"/>
      <x:c r="H66" s="2" t="str">
        <x:f>IF(OR(B66="",NOT(ISNUMBER(D66))),"",IF(COUNTIFS($B$9:B66,B66,$D$9:D66,"&gt;0")=1,1,0))</x:f>
      </x:c>
      <x:c r="I66" s="2" t="str">
        <x:f>IF(B66="","",IF(AND(ISNUMBER(D66),E66="Yes",F66="Yes",G66="Yes",J66&lt;&gt;""),IF(COUNTIFS($B$9:B66,B66,$D$9:D66,"&gt;0",$E$9:E66,"Yes",$F$9:F66,"Yes",$G$9:G66,"Yes",$J$9:J66,"&lt;&gt;")=1,1,0),0))</x:f>
      </x:c>
      <x:c r="J66" s="5"/>
      <x:c r="K66" s="5"/>
    </x:row>
    <x:row r="67" ht="23" customHeight="1">
      <x:c r="B67" s="5"/>
      <x:c r="C67" s="5"/>
      <x:c r="D67" s="6"/>
      <x:c r="E67" s="5"/>
      <x:c r="F67" s="5"/>
      <x:c r="G67" s="5"/>
      <x:c r="H67" s="2" t="str">
        <x:f>IF(OR(B67="",NOT(ISNUMBER(D67))),"",IF(COUNTIFS($B$9:B67,B67,$D$9:D67,"&gt;0")=1,1,0))</x:f>
      </x:c>
      <x:c r="I67" s="2" t="str">
        <x:f>IF(B67="","",IF(AND(ISNUMBER(D67),E67="Yes",F67="Yes",G67="Yes",J67&lt;&gt;""),IF(COUNTIFS($B$9:B67,B67,$D$9:D67,"&gt;0",$E$9:E67,"Yes",$F$9:F67,"Yes",$G$9:G67,"Yes",$J$9:J67,"&lt;&gt;")=1,1,0),0))</x:f>
      </x:c>
      <x:c r="J67" s="5"/>
      <x:c r="K67" s="5"/>
    </x:row>
    <x:row r="68" ht="23" customHeight="1">
      <x:c r="B68" s="5"/>
      <x:c r="C68" s="5"/>
      <x:c r="D68" s="6"/>
      <x:c r="E68" s="5"/>
      <x:c r="F68" s="5"/>
      <x:c r="G68" s="5"/>
      <x:c r="H68" s="2" t="str">
        <x:f>IF(OR(B68="",NOT(ISNUMBER(D68))),"",IF(COUNTIFS($B$9:B68,B68,$D$9:D68,"&gt;0")=1,1,0))</x:f>
      </x:c>
      <x:c r="I68" s="2" t="str">
        <x:f>IF(B68="","",IF(AND(ISNUMBER(D68),E68="Yes",F68="Yes",G68="Yes",J68&lt;&gt;""),IF(COUNTIFS($B$9:B68,B68,$D$9:D68,"&gt;0",$E$9:E68,"Yes",$F$9:F68,"Yes",$G$9:G68,"Yes",$J$9:J68,"&lt;&gt;")=1,1,0),0))</x:f>
      </x:c>
      <x:c r="J68" s="5"/>
      <x:c r="K68" s="5"/>
    </x:row>
  </x:sheetData>
  <x:dataValidations count="1">
    <x:dataValidation type="list" sqref="E9:G68">
      <x:formula1>"Yes,No"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8" topLeftCell="D9" activePane="bottomRight" state="frozen"/>
    </x:sheetView>
  </x:sheetViews>
  <x:sheetFormatPr defaultRowHeight="15"/>
  <x:cols>
    <x:col min="2" max="2" width="18" hidden="0" customWidth="1"/>
    <x:col min="3" max="3" width="18" hidden="0" customWidth="1"/>
    <x:col min="4" max="4" width="22" hidden="0" customWidth="1"/>
    <x:col min="5" max="5" width="22" hidden="0" customWidth="1"/>
    <x:col min="6" max="6" width="15" hidden="0" customWidth="1"/>
    <x:col min="7" max="7" width="15" hidden="0" customWidth="1"/>
    <x:col min="8" max="8" width="15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18" hidden="0" customWidth="1"/>
    <x:col min="14" max="14" width="18" hidden="0" customWidth="1"/>
    <x:col min="15" max="15" width="36" hidden="0" customWidth="1"/>
  </x:cols>
  <x:sheetData>
    <x:row r="2" ht="23" customHeight="1">
      <x:c r="B2" s="3" t="str">
        <x:v>Renter enquiries and source attribution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3" ht="23" customHeight="1"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</x:row>
    <x:row r="4" ht="23" customHeight="1">
      <x:c r="B4" s="2" t="str">
        <x:v>Dedup key = stable renter code + room code, such as R001-L001. Count repeat contact for the same room once.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3" customHeight="1">
      <x:c r="B5" s="2" t="str">
        <x:v>Qualified = matching area and budget + contact/viewing request + actual available room; exclude tests.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23" customHeight="1">
      <x:c r="B6" s="2" t="str">
        <x:v>Use Yes/No for every qualification input. Unknown source remains Unknown. Update the original row when attribution is resolved.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</x:row>
    <x:row r="7" ht="23" customHeight="1"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</x:row>
    <x:row r="8" ht="36" customHeight="1">
      <x:c r="B8" s="11" t="str">
        <x:v>Date SAST</x:v>
      </x:c>
      <x:c r="C8" s="12" t="str">
        <x:v>Dedup key</x:v>
      </x:c>
      <x:c r="D8" s="12" t="str">
        <x:v>Source</x:v>
      </x:c>
      <x:c r="E8" s="12" t="str">
        <x:v>Medium</x:v>
      </x:c>
      <x:c r="F8" s="12" t="str">
        <x:v>Asset ID</x:v>
      </x:c>
      <x:c r="G8" s="12" t="str">
        <x:v>Area match</x:v>
      </x:c>
      <x:c r="H8" s="12" t="str">
        <x:v>Budget match</x:v>
      </x:c>
      <x:c r="I8" s="12" t="str">
        <x:v>Contact / viewing requested</x:v>
      </x:c>
      <x:c r="J8" s="12" t="str">
        <x:v>Room available</x:v>
      </x:c>
      <x:c r="K8" s="12" t="str">
        <x:v>Test enquiry</x:v>
      </x:c>
      <x:c r="L8" s="12" t="str">
        <x:v>Source evidence type</x:v>
      </x:c>
      <x:c r="M8" s="12" t="str">
        <x:v>Unique qualified</x:v>
      </x:c>
      <x:c r="N8" s="12" t="str">
        <x:v>Paid attributed</x:v>
      </x:c>
      <x:c r="O8" s="13" t="str">
        <x:v>Evidence reference</x:v>
      </x:c>
    </x:row>
    <x:row r="9" ht="23" customHeight="1">
      <x:c r="B9" s="6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2" t="str">
        <x:f>IF(OR(NOT(ISNUMBER(B9)),C9="",COUNTBLANK(G9:K9)&gt;0),"",IF(AND(G9="Yes",H9="Yes",I9="Yes",J9="Yes",K9="No"),IF(COUNTIFS($B$9:B9,"&gt;0",$C$9:C9,C9,$G$9:G9,"Yes",$H$9:H9,"Yes",$I$9:I9,"Yes",$J$9:J9,"Yes",$K$9:K9,"No")=1,1,0),0))</x:f>
      </x:c>
      <x:c r="N9" s="2" t="str">
        <x:f>IF(M9="","",IF(AND(M9=1,E9="paid_social",OR(D9="Facebook",D9="Instagram",D9="TikTok"),OR(L9="Observed",L9="Self-reported"),O9&lt;&gt;""),1,0))</x:f>
      </x:c>
      <x:c r="O9" s="5"/>
    </x:row>
    <x:row r="10" ht="23" customHeight="1">
      <x:c r="B10" s="6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2" t="str">
        <x:f>IF(OR(NOT(ISNUMBER(B10)),C10="",COUNTBLANK(G10:K10)&gt;0),"",IF(AND(G10="Yes",H10="Yes",I10="Yes",J10="Yes",K10="No"),IF(COUNTIFS($B$9:B10,"&gt;0",$C$9:C10,C10,$G$9:G10,"Yes",$H$9:H10,"Yes",$I$9:I10,"Yes",$J$9:J10,"Yes",$K$9:K10,"No")=1,1,0),0))</x:f>
      </x:c>
      <x:c r="N10" s="2" t="str">
        <x:f>IF(M10="","",IF(AND(M10=1,E10="paid_social",OR(D10="Facebook",D10="Instagram",D10="TikTok"),OR(L10="Observed",L10="Self-reported"),O10&lt;&gt;""),1,0))</x:f>
      </x:c>
      <x:c r="O10" s="5"/>
    </x:row>
    <x:row r="11" ht="23" customHeight="1">
      <x:c r="B11" s="6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2" t="str">
        <x:f>IF(OR(NOT(ISNUMBER(B11)),C11="",COUNTBLANK(G11:K11)&gt;0),"",IF(AND(G11="Yes",H11="Yes",I11="Yes",J11="Yes",K11="No"),IF(COUNTIFS($B$9:B11,"&gt;0",$C$9:C11,C11,$G$9:G11,"Yes",$H$9:H11,"Yes",$I$9:I11,"Yes",$J$9:J11,"Yes",$K$9:K11,"No")=1,1,0),0))</x:f>
      </x:c>
      <x:c r="N11" s="2" t="str">
        <x:f>IF(M11="","",IF(AND(M11=1,E11="paid_social",OR(D11="Facebook",D11="Instagram",D11="TikTok"),OR(L11="Observed",L11="Self-reported"),O11&lt;&gt;""),1,0))</x:f>
      </x:c>
      <x:c r="O11" s="5"/>
    </x:row>
    <x:row r="12" ht="23" customHeight="1">
      <x:c r="B12" s="6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2" t="str">
        <x:f>IF(OR(NOT(ISNUMBER(B12)),C12="",COUNTBLANK(G12:K12)&gt;0),"",IF(AND(G12="Yes",H12="Yes",I12="Yes",J12="Yes",K12="No"),IF(COUNTIFS($B$9:B12,"&gt;0",$C$9:C12,C12,$G$9:G12,"Yes",$H$9:H12,"Yes",$I$9:I12,"Yes",$J$9:J12,"Yes",$K$9:K12,"No")=1,1,0),0))</x:f>
      </x:c>
      <x:c r="N12" s="2" t="str">
        <x:f>IF(M12="","",IF(AND(M12=1,E12="paid_social",OR(D12="Facebook",D12="Instagram",D12="TikTok"),OR(L12="Observed",L12="Self-reported"),O12&lt;&gt;""),1,0))</x:f>
      </x:c>
      <x:c r="O12" s="5"/>
    </x:row>
    <x:row r="13" ht="23" customHeight="1">
      <x:c r="B13" s="6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2" t="str">
        <x:f>IF(OR(NOT(ISNUMBER(B13)),C13="",COUNTBLANK(G13:K13)&gt;0),"",IF(AND(G13="Yes",H13="Yes",I13="Yes",J13="Yes",K13="No"),IF(COUNTIFS($B$9:B13,"&gt;0",$C$9:C13,C13,$G$9:G13,"Yes",$H$9:H13,"Yes",$I$9:I13,"Yes",$J$9:J13,"Yes",$K$9:K13,"No")=1,1,0),0))</x:f>
      </x:c>
      <x:c r="N13" s="2" t="str">
        <x:f>IF(M13="","",IF(AND(M13=1,E13="paid_social",OR(D13="Facebook",D13="Instagram",D13="TikTok"),OR(L13="Observed",L13="Self-reported"),O13&lt;&gt;""),1,0))</x:f>
      </x:c>
      <x:c r="O13" s="5"/>
    </x:row>
    <x:row r="14" ht="23" customHeight="1">
      <x:c r="B14" s="6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2" t="str">
        <x:f>IF(OR(NOT(ISNUMBER(B14)),C14="",COUNTBLANK(G14:K14)&gt;0),"",IF(AND(G14="Yes",H14="Yes",I14="Yes",J14="Yes",K14="No"),IF(COUNTIFS($B$9:B14,"&gt;0",$C$9:C14,C14,$G$9:G14,"Yes",$H$9:H14,"Yes",$I$9:I14,"Yes",$J$9:J14,"Yes",$K$9:K14,"No")=1,1,0),0))</x:f>
      </x:c>
      <x:c r="N14" s="2" t="str">
        <x:f>IF(M14="","",IF(AND(M14=1,E14="paid_social",OR(D14="Facebook",D14="Instagram",D14="TikTok"),OR(L14="Observed",L14="Self-reported"),O14&lt;&gt;""),1,0))</x:f>
      </x:c>
      <x:c r="O14" s="5"/>
    </x:row>
    <x:row r="15" ht="23" customHeight="1">
      <x:c r="B15" s="6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2" t="str">
        <x:f>IF(OR(NOT(ISNUMBER(B15)),C15="",COUNTBLANK(G15:K15)&gt;0),"",IF(AND(G15="Yes",H15="Yes",I15="Yes",J15="Yes",K15="No"),IF(COUNTIFS($B$9:B15,"&gt;0",$C$9:C15,C15,$G$9:G15,"Yes",$H$9:H15,"Yes",$I$9:I15,"Yes",$J$9:J15,"Yes",$K$9:K15,"No")=1,1,0),0))</x:f>
      </x:c>
      <x:c r="N15" s="2" t="str">
        <x:f>IF(M15="","",IF(AND(M15=1,E15="paid_social",OR(D15="Facebook",D15="Instagram",D15="TikTok"),OR(L15="Observed",L15="Self-reported"),O15&lt;&gt;""),1,0))</x:f>
      </x:c>
      <x:c r="O15" s="5"/>
    </x:row>
    <x:row r="16" ht="23" customHeight="1">
      <x:c r="B16" s="6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2" t="str">
        <x:f>IF(OR(NOT(ISNUMBER(B16)),C16="",COUNTBLANK(G16:K16)&gt;0),"",IF(AND(G16="Yes",H16="Yes",I16="Yes",J16="Yes",K16="No"),IF(COUNTIFS($B$9:B16,"&gt;0",$C$9:C16,C16,$G$9:G16,"Yes",$H$9:H16,"Yes",$I$9:I16,"Yes",$J$9:J16,"Yes",$K$9:K16,"No")=1,1,0),0))</x:f>
      </x:c>
      <x:c r="N16" s="2" t="str">
        <x:f>IF(M16="","",IF(AND(M16=1,E16="paid_social",OR(D16="Facebook",D16="Instagram",D16="TikTok"),OR(L16="Observed",L16="Self-reported"),O16&lt;&gt;""),1,0))</x:f>
      </x:c>
      <x:c r="O16" s="5"/>
    </x:row>
    <x:row r="17" ht="23" customHeight="1">
      <x:c r="B17" s="6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2" t="str">
        <x:f>IF(OR(NOT(ISNUMBER(B17)),C17="",COUNTBLANK(G17:K17)&gt;0),"",IF(AND(G17="Yes",H17="Yes",I17="Yes",J17="Yes",K17="No"),IF(COUNTIFS($B$9:B17,"&gt;0",$C$9:C17,C17,$G$9:G17,"Yes",$H$9:H17,"Yes",$I$9:I17,"Yes",$J$9:J17,"Yes",$K$9:K17,"No")=1,1,0),0))</x:f>
      </x:c>
      <x:c r="N17" s="2" t="str">
        <x:f>IF(M17="","",IF(AND(M17=1,E17="paid_social",OR(D17="Facebook",D17="Instagram",D17="TikTok"),OR(L17="Observed",L17="Self-reported"),O17&lt;&gt;""),1,0))</x:f>
      </x:c>
      <x:c r="O17" s="5"/>
    </x:row>
    <x:row r="18" ht="23" customHeight="1">
      <x:c r="B18" s="6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2" t="str">
        <x:f>IF(OR(NOT(ISNUMBER(B18)),C18="",COUNTBLANK(G18:K18)&gt;0),"",IF(AND(G18="Yes",H18="Yes",I18="Yes",J18="Yes",K18="No"),IF(COUNTIFS($B$9:B18,"&gt;0",$C$9:C18,C18,$G$9:G18,"Yes",$H$9:H18,"Yes",$I$9:I18,"Yes",$J$9:J18,"Yes",$K$9:K18,"No")=1,1,0),0))</x:f>
      </x:c>
      <x:c r="N18" s="2" t="str">
        <x:f>IF(M18="","",IF(AND(M18=1,E18="paid_social",OR(D18="Facebook",D18="Instagram",D18="TikTok"),OR(L18="Observed",L18="Self-reported"),O18&lt;&gt;""),1,0))</x:f>
      </x:c>
      <x:c r="O18" s="5"/>
    </x:row>
    <x:row r="19" ht="23" customHeight="1">
      <x:c r="B19" s="6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2" t="str">
        <x:f>IF(OR(NOT(ISNUMBER(B19)),C19="",COUNTBLANK(G19:K19)&gt;0),"",IF(AND(G19="Yes",H19="Yes",I19="Yes",J19="Yes",K19="No"),IF(COUNTIFS($B$9:B19,"&gt;0",$C$9:C19,C19,$G$9:G19,"Yes",$H$9:H19,"Yes",$I$9:I19,"Yes",$J$9:J19,"Yes",$K$9:K19,"No")=1,1,0),0))</x:f>
      </x:c>
      <x:c r="N19" s="2" t="str">
        <x:f>IF(M19="","",IF(AND(M19=1,E19="paid_social",OR(D19="Facebook",D19="Instagram",D19="TikTok"),OR(L19="Observed",L19="Self-reported"),O19&lt;&gt;""),1,0))</x:f>
      </x:c>
      <x:c r="O19" s="5"/>
    </x:row>
    <x:row r="20" ht="23" customHeight="1">
      <x:c r="B20" s="6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2" t="str">
        <x:f>IF(OR(NOT(ISNUMBER(B20)),C20="",COUNTBLANK(G20:K20)&gt;0),"",IF(AND(G20="Yes",H20="Yes",I20="Yes",J20="Yes",K20="No"),IF(COUNTIFS($B$9:B20,"&gt;0",$C$9:C20,C20,$G$9:G20,"Yes",$H$9:H20,"Yes",$I$9:I20,"Yes",$J$9:J20,"Yes",$K$9:K20,"No")=1,1,0),0))</x:f>
      </x:c>
      <x:c r="N20" s="2" t="str">
        <x:f>IF(M20="","",IF(AND(M20=1,E20="paid_social",OR(D20="Facebook",D20="Instagram",D20="TikTok"),OR(L20="Observed",L20="Self-reported"),O20&lt;&gt;""),1,0))</x:f>
      </x:c>
      <x:c r="O20" s="5"/>
    </x:row>
    <x:row r="21" ht="23" customHeight="1">
      <x:c r="B21" s="6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2" t="str">
        <x:f>IF(OR(NOT(ISNUMBER(B21)),C21="",COUNTBLANK(G21:K21)&gt;0),"",IF(AND(G21="Yes",H21="Yes",I21="Yes",J21="Yes",K21="No"),IF(COUNTIFS($B$9:B21,"&gt;0",$C$9:C21,C21,$G$9:G21,"Yes",$H$9:H21,"Yes",$I$9:I21,"Yes",$J$9:J21,"Yes",$K$9:K21,"No")=1,1,0),0))</x:f>
      </x:c>
      <x:c r="N21" s="2" t="str">
        <x:f>IF(M21="","",IF(AND(M21=1,E21="paid_social",OR(D21="Facebook",D21="Instagram",D21="TikTok"),OR(L21="Observed",L21="Self-reported"),O21&lt;&gt;""),1,0))</x:f>
      </x:c>
      <x:c r="O21" s="5"/>
    </x:row>
    <x:row r="22" ht="23" customHeight="1">
      <x:c r="B22" s="6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2" t="str">
        <x:f>IF(OR(NOT(ISNUMBER(B22)),C22="",COUNTBLANK(G22:K22)&gt;0),"",IF(AND(G22="Yes",H22="Yes",I22="Yes",J22="Yes",K22="No"),IF(COUNTIFS($B$9:B22,"&gt;0",$C$9:C22,C22,$G$9:G22,"Yes",$H$9:H22,"Yes",$I$9:I22,"Yes",$J$9:J22,"Yes",$K$9:K22,"No")=1,1,0),0))</x:f>
      </x:c>
      <x:c r="N22" s="2" t="str">
        <x:f>IF(M22="","",IF(AND(M22=1,E22="paid_social",OR(D22="Facebook",D22="Instagram",D22="TikTok"),OR(L22="Observed",L22="Self-reported"),O22&lt;&gt;""),1,0))</x:f>
      </x:c>
      <x:c r="O22" s="5"/>
    </x:row>
    <x:row r="23" ht="23" customHeight="1">
      <x:c r="B23" s="6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2" t="str">
        <x:f>IF(OR(NOT(ISNUMBER(B23)),C23="",COUNTBLANK(G23:K23)&gt;0),"",IF(AND(G23="Yes",H23="Yes",I23="Yes",J23="Yes",K23="No"),IF(COUNTIFS($B$9:B23,"&gt;0",$C$9:C23,C23,$G$9:G23,"Yes",$H$9:H23,"Yes",$I$9:I23,"Yes",$J$9:J23,"Yes",$K$9:K23,"No")=1,1,0),0))</x:f>
      </x:c>
      <x:c r="N23" s="2" t="str">
        <x:f>IF(M23="","",IF(AND(M23=1,E23="paid_social",OR(D23="Facebook",D23="Instagram",D23="TikTok"),OR(L23="Observed",L23="Self-reported"),O23&lt;&gt;""),1,0))</x:f>
      </x:c>
      <x:c r="O23" s="5"/>
    </x:row>
    <x:row r="24" ht="23" customHeight="1">
      <x:c r="B24" s="6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2" t="str">
        <x:f>IF(OR(NOT(ISNUMBER(B24)),C24="",COUNTBLANK(G24:K24)&gt;0),"",IF(AND(G24="Yes",H24="Yes",I24="Yes",J24="Yes",K24="No"),IF(COUNTIFS($B$9:B24,"&gt;0",$C$9:C24,C24,$G$9:G24,"Yes",$H$9:H24,"Yes",$I$9:I24,"Yes",$J$9:J24,"Yes",$K$9:K24,"No")=1,1,0),0))</x:f>
      </x:c>
      <x:c r="N24" s="2" t="str">
        <x:f>IF(M24="","",IF(AND(M24=1,E24="paid_social",OR(D24="Facebook",D24="Instagram",D24="TikTok"),OR(L24="Observed",L24="Self-reported"),O24&lt;&gt;""),1,0))</x:f>
      </x:c>
      <x:c r="O24" s="5"/>
    </x:row>
    <x:row r="25" ht="23" customHeight="1">
      <x:c r="B25" s="6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2" t="str">
        <x:f>IF(OR(NOT(ISNUMBER(B25)),C25="",COUNTBLANK(G25:K25)&gt;0),"",IF(AND(G25="Yes",H25="Yes",I25="Yes",J25="Yes",K25="No"),IF(COUNTIFS($B$9:B25,"&gt;0",$C$9:C25,C25,$G$9:G25,"Yes",$H$9:H25,"Yes",$I$9:I25,"Yes",$J$9:J25,"Yes",$K$9:K25,"No")=1,1,0),0))</x:f>
      </x:c>
      <x:c r="N25" s="2" t="str">
        <x:f>IF(M25="","",IF(AND(M25=1,E25="paid_social",OR(D25="Facebook",D25="Instagram",D25="TikTok"),OR(L25="Observed",L25="Self-reported"),O25&lt;&gt;""),1,0))</x:f>
      </x:c>
      <x:c r="O25" s="5"/>
    </x:row>
    <x:row r="26" ht="23" customHeight="1">
      <x:c r="B26" s="6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2" t="str">
        <x:f>IF(OR(NOT(ISNUMBER(B26)),C26="",COUNTBLANK(G26:K26)&gt;0),"",IF(AND(G26="Yes",H26="Yes",I26="Yes",J26="Yes",K26="No"),IF(COUNTIFS($B$9:B26,"&gt;0",$C$9:C26,C26,$G$9:G26,"Yes",$H$9:H26,"Yes",$I$9:I26,"Yes",$J$9:J26,"Yes",$K$9:K26,"No")=1,1,0),0))</x:f>
      </x:c>
      <x:c r="N26" s="2" t="str">
        <x:f>IF(M26="","",IF(AND(M26=1,E26="paid_social",OR(D26="Facebook",D26="Instagram",D26="TikTok"),OR(L26="Observed",L26="Self-reported"),O26&lt;&gt;""),1,0))</x:f>
      </x:c>
      <x:c r="O26" s="5"/>
    </x:row>
    <x:row r="27" ht="23" customHeight="1">
      <x:c r="B27" s="6"/>
      <x:c r="C27" s="5"/>
      <x:c r="D27" s="5"/>
      <x:c r="E27" s="5"/>
      <x:c r="F27" s="5"/>
      <x:c r="G27" s="5"/>
      <x:c r="H27" s="5"/>
      <x:c r="I27" s="5"/>
      <x:c r="J27" s="5"/>
      <x:c r="K27" s="5"/>
      <x:c r="L27" s="5"/>
      <x:c r="M27" s="2" t="str">
        <x:f>IF(OR(NOT(ISNUMBER(B27)),C27="",COUNTBLANK(G27:K27)&gt;0),"",IF(AND(G27="Yes",H27="Yes",I27="Yes",J27="Yes",K27="No"),IF(COUNTIFS($B$9:B27,"&gt;0",$C$9:C27,C27,$G$9:G27,"Yes",$H$9:H27,"Yes",$I$9:I27,"Yes",$J$9:J27,"Yes",$K$9:K27,"No")=1,1,0),0))</x:f>
      </x:c>
      <x:c r="N27" s="2" t="str">
        <x:f>IF(M27="","",IF(AND(M27=1,E27="paid_social",OR(D27="Facebook",D27="Instagram",D27="TikTok"),OR(L27="Observed",L27="Self-reported"),O27&lt;&gt;""),1,0))</x:f>
      </x:c>
      <x:c r="O27" s="5"/>
    </x:row>
    <x:row r="28" ht="23" customHeight="1">
      <x:c r="B28" s="6"/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2" t="str">
        <x:f>IF(OR(NOT(ISNUMBER(B28)),C28="",COUNTBLANK(G28:K28)&gt;0),"",IF(AND(G28="Yes",H28="Yes",I28="Yes",J28="Yes",K28="No"),IF(COUNTIFS($B$9:B28,"&gt;0",$C$9:C28,C28,$G$9:G28,"Yes",$H$9:H28,"Yes",$I$9:I28,"Yes",$J$9:J28,"Yes",$K$9:K28,"No")=1,1,0),0))</x:f>
      </x:c>
      <x:c r="N28" s="2" t="str">
        <x:f>IF(M28="","",IF(AND(M28=1,E28="paid_social",OR(D28="Facebook",D28="Instagram",D28="TikTok"),OR(L28="Observed",L28="Self-reported"),O28&lt;&gt;""),1,0))</x:f>
      </x:c>
      <x:c r="O28" s="5"/>
    </x:row>
    <x:row r="29" ht="23" customHeight="1">
      <x:c r="B29" s="6"/>
      <x:c r="C29" s="5"/>
      <x:c r="D29" s="5"/>
      <x:c r="E29" s="5"/>
      <x:c r="F29" s="5"/>
      <x:c r="G29" s="5"/>
      <x:c r="H29" s="5"/>
      <x:c r="I29" s="5"/>
      <x:c r="J29" s="5"/>
      <x:c r="K29" s="5"/>
      <x:c r="L29" s="5"/>
      <x:c r="M29" s="2" t="str">
        <x:f>IF(OR(NOT(ISNUMBER(B29)),C29="",COUNTBLANK(G29:K29)&gt;0),"",IF(AND(G29="Yes",H29="Yes",I29="Yes",J29="Yes",K29="No"),IF(COUNTIFS($B$9:B29,"&gt;0",$C$9:C29,C29,$G$9:G29,"Yes",$H$9:H29,"Yes",$I$9:I29,"Yes",$J$9:J29,"Yes",$K$9:K29,"No")=1,1,0),0))</x:f>
      </x:c>
      <x:c r="N29" s="2" t="str">
        <x:f>IF(M29="","",IF(AND(M29=1,E29="paid_social",OR(D29="Facebook",D29="Instagram",D29="TikTok"),OR(L29="Observed",L29="Self-reported"),O29&lt;&gt;""),1,0))</x:f>
      </x:c>
      <x:c r="O29" s="5"/>
    </x:row>
    <x:row r="30" ht="23" customHeight="1">
      <x:c r="B30" s="6"/>
      <x:c r="C30" s="5"/>
      <x:c r="D30" s="5"/>
      <x:c r="E30" s="5"/>
      <x:c r="F30" s="5"/>
      <x:c r="G30" s="5"/>
      <x:c r="H30" s="5"/>
      <x:c r="I30" s="5"/>
      <x:c r="J30" s="5"/>
      <x:c r="K30" s="5"/>
      <x:c r="L30" s="5"/>
      <x:c r="M30" s="2" t="str">
        <x:f>IF(OR(NOT(ISNUMBER(B30)),C30="",COUNTBLANK(G30:K30)&gt;0),"",IF(AND(G30="Yes",H30="Yes",I30="Yes",J30="Yes",K30="No"),IF(COUNTIFS($B$9:B30,"&gt;0",$C$9:C30,C30,$G$9:G30,"Yes",$H$9:H30,"Yes",$I$9:I30,"Yes",$J$9:J30,"Yes",$K$9:K30,"No")=1,1,0),0))</x:f>
      </x:c>
      <x:c r="N30" s="2" t="str">
        <x:f>IF(M30="","",IF(AND(M30=1,E30="paid_social",OR(D30="Facebook",D30="Instagram",D30="TikTok"),OR(L30="Observed",L30="Self-reported"),O30&lt;&gt;""),1,0))</x:f>
      </x:c>
      <x:c r="O30" s="5"/>
    </x:row>
    <x:row r="31" ht="23" customHeight="1">
      <x:c r="B31" s="6"/>
      <x:c r="C31" s="5"/>
      <x:c r="D31" s="5"/>
      <x:c r="E31" s="5"/>
      <x:c r="F31" s="5"/>
      <x:c r="G31" s="5"/>
      <x:c r="H31" s="5"/>
      <x:c r="I31" s="5"/>
      <x:c r="J31" s="5"/>
      <x:c r="K31" s="5"/>
      <x:c r="L31" s="5"/>
      <x:c r="M31" s="2" t="str">
        <x:f>IF(OR(NOT(ISNUMBER(B31)),C31="",COUNTBLANK(G31:K31)&gt;0),"",IF(AND(G31="Yes",H31="Yes",I31="Yes",J31="Yes",K31="No"),IF(COUNTIFS($B$9:B31,"&gt;0",$C$9:C31,C31,$G$9:G31,"Yes",$H$9:H31,"Yes",$I$9:I31,"Yes",$J$9:J31,"Yes",$K$9:K31,"No")=1,1,0),0))</x:f>
      </x:c>
      <x:c r="N31" s="2" t="str">
        <x:f>IF(M31="","",IF(AND(M31=1,E31="paid_social",OR(D31="Facebook",D31="Instagram",D31="TikTok"),OR(L31="Observed",L31="Self-reported"),O31&lt;&gt;""),1,0))</x:f>
      </x:c>
      <x:c r="O31" s="5"/>
    </x:row>
    <x:row r="32" ht="23" customHeight="1">
      <x:c r="B32" s="6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2" t="str">
        <x:f>IF(OR(NOT(ISNUMBER(B32)),C32="",COUNTBLANK(G32:K32)&gt;0),"",IF(AND(G32="Yes",H32="Yes",I32="Yes",J32="Yes",K32="No"),IF(COUNTIFS($B$9:B32,"&gt;0",$C$9:C32,C32,$G$9:G32,"Yes",$H$9:H32,"Yes",$I$9:I32,"Yes",$J$9:J32,"Yes",$K$9:K32,"No")=1,1,0),0))</x:f>
      </x:c>
      <x:c r="N32" s="2" t="str">
        <x:f>IF(M32="","",IF(AND(M32=1,E32="paid_social",OR(D32="Facebook",D32="Instagram",D32="TikTok"),OR(L32="Observed",L32="Self-reported"),O32&lt;&gt;""),1,0))</x:f>
      </x:c>
      <x:c r="O32" s="5"/>
    </x:row>
    <x:row r="33" ht="23" customHeight="1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2" t="str">
        <x:f>IF(OR(NOT(ISNUMBER(B33)),C33="",COUNTBLANK(G33:K33)&gt;0),"",IF(AND(G33="Yes",H33="Yes",I33="Yes",J33="Yes",K33="No"),IF(COUNTIFS($B$9:B33,"&gt;0",$C$9:C33,C33,$G$9:G33,"Yes",$H$9:H33,"Yes",$I$9:I33,"Yes",$J$9:J33,"Yes",$K$9:K33,"No")=1,1,0),0))</x:f>
      </x:c>
      <x:c r="N33" s="2" t="str">
        <x:f>IF(M33="","",IF(AND(M33=1,E33="paid_social",OR(D33="Facebook",D33="Instagram",D33="TikTok"),OR(L33="Observed",L33="Self-reported"),O33&lt;&gt;""),1,0))</x:f>
      </x:c>
      <x:c r="O33" s="5"/>
    </x:row>
    <x:row r="34" ht="23" customHeight="1">
      <x:c r="B34" s="6"/>
      <x:c r="C34" s="5"/>
      <x:c r="D34" s="5"/>
      <x:c r="E34" s="5"/>
      <x:c r="F34" s="5"/>
      <x:c r="G34" s="5"/>
      <x:c r="H34" s="5"/>
      <x:c r="I34" s="5"/>
      <x:c r="J34" s="5"/>
      <x:c r="K34" s="5"/>
      <x:c r="L34" s="5"/>
      <x:c r="M34" s="2" t="str">
        <x:f>IF(OR(NOT(ISNUMBER(B34)),C34="",COUNTBLANK(G34:K34)&gt;0),"",IF(AND(G34="Yes",H34="Yes",I34="Yes",J34="Yes",K34="No"),IF(COUNTIFS($B$9:B34,"&gt;0",$C$9:C34,C34,$G$9:G34,"Yes",$H$9:H34,"Yes",$I$9:I34,"Yes",$J$9:J34,"Yes",$K$9:K34,"No")=1,1,0),0))</x:f>
      </x:c>
      <x:c r="N34" s="2" t="str">
        <x:f>IF(M34="","",IF(AND(M34=1,E34="paid_social",OR(D34="Facebook",D34="Instagram",D34="TikTok"),OR(L34="Observed",L34="Self-reported"),O34&lt;&gt;""),1,0))</x:f>
      </x:c>
      <x:c r="O34" s="5"/>
    </x:row>
    <x:row r="35" ht="23" customHeight="1">
      <x:c r="B35" s="6"/>
      <x:c r="C35" s="5"/>
      <x:c r="D35" s="5"/>
      <x:c r="E35" s="5"/>
      <x:c r="F35" s="5"/>
      <x:c r="G35" s="5"/>
      <x:c r="H35" s="5"/>
      <x:c r="I35" s="5"/>
      <x:c r="J35" s="5"/>
      <x:c r="K35" s="5"/>
      <x:c r="L35" s="5"/>
      <x:c r="M35" s="2" t="str">
        <x:f>IF(OR(NOT(ISNUMBER(B35)),C35="",COUNTBLANK(G35:K35)&gt;0),"",IF(AND(G35="Yes",H35="Yes",I35="Yes",J35="Yes",K35="No"),IF(COUNTIFS($B$9:B35,"&gt;0",$C$9:C35,C35,$G$9:G35,"Yes",$H$9:H35,"Yes",$I$9:I35,"Yes",$J$9:J35,"Yes",$K$9:K35,"No")=1,1,0),0))</x:f>
      </x:c>
      <x:c r="N35" s="2" t="str">
        <x:f>IF(M35="","",IF(AND(M35=1,E35="paid_social",OR(D35="Facebook",D35="Instagram",D35="TikTok"),OR(L35="Observed",L35="Self-reported"),O35&lt;&gt;""),1,0))</x:f>
      </x:c>
      <x:c r="O35" s="5"/>
    </x:row>
    <x:row r="36" ht="23" customHeight="1">
      <x:c r="B36" s="6"/>
      <x:c r="C36" s="5"/>
      <x:c r="D36" s="5"/>
      <x:c r="E36" s="5"/>
      <x:c r="F36" s="5"/>
      <x:c r="G36" s="5"/>
      <x:c r="H36" s="5"/>
      <x:c r="I36" s="5"/>
      <x:c r="J36" s="5"/>
      <x:c r="K36" s="5"/>
      <x:c r="L36" s="5"/>
      <x:c r="M36" s="2" t="str">
        <x:f>IF(OR(NOT(ISNUMBER(B36)),C36="",COUNTBLANK(G36:K36)&gt;0),"",IF(AND(G36="Yes",H36="Yes",I36="Yes",J36="Yes",K36="No"),IF(COUNTIFS($B$9:B36,"&gt;0",$C$9:C36,C36,$G$9:G36,"Yes",$H$9:H36,"Yes",$I$9:I36,"Yes",$J$9:J36,"Yes",$K$9:K36,"No")=1,1,0),0))</x:f>
      </x:c>
      <x:c r="N36" s="2" t="str">
        <x:f>IF(M36="","",IF(AND(M36=1,E36="paid_social",OR(D36="Facebook",D36="Instagram",D36="TikTok"),OR(L36="Observed",L36="Self-reported"),O36&lt;&gt;""),1,0))</x:f>
      </x:c>
      <x:c r="O36" s="5"/>
    </x:row>
    <x:row r="37" ht="23" customHeight="1">
      <x:c r="B37" s="6"/>
      <x:c r="C37" s="5"/>
      <x:c r="D37" s="5"/>
      <x:c r="E37" s="5"/>
      <x:c r="F37" s="5"/>
      <x:c r="G37" s="5"/>
      <x:c r="H37" s="5"/>
      <x:c r="I37" s="5"/>
      <x:c r="J37" s="5"/>
      <x:c r="K37" s="5"/>
      <x:c r="L37" s="5"/>
      <x:c r="M37" s="2" t="str">
        <x:f>IF(OR(NOT(ISNUMBER(B37)),C37="",COUNTBLANK(G37:K37)&gt;0),"",IF(AND(G37="Yes",H37="Yes",I37="Yes",J37="Yes",K37="No"),IF(COUNTIFS($B$9:B37,"&gt;0",$C$9:C37,C37,$G$9:G37,"Yes",$H$9:H37,"Yes",$I$9:I37,"Yes",$J$9:J37,"Yes",$K$9:K37,"No")=1,1,0),0))</x:f>
      </x:c>
      <x:c r="N37" s="2" t="str">
        <x:f>IF(M37="","",IF(AND(M37=1,E37="paid_social",OR(D37="Facebook",D37="Instagram",D37="TikTok"),OR(L37="Observed",L37="Self-reported"),O37&lt;&gt;""),1,0))</x:f>
      </x:c>
      <x:c r="O37" s="5"/>
    </x:row>
    <x:row r="38" ht="23" customHeight="1">
      <x:c r="B38" s="6"/>
      <x:c r="C38" s="5"/>
      <x:c r="D38" s="5"/>
      <x:c r="E38" s="5"/>
      <x:c r="F38" s="5"/>
      <x:c r="G38" s="5"/>
      <x:c r="H38" s="5"/>
      <x:c r="I38" s="5"/>
      <x:c r="J38" s="5"/>
      <x:c r="K38" s="5"/>
      <x:c r="L38" s="5"/>
      <x:c r="M38" s="2" t="str">
        <x:f>IF(OR(NOT(ISNUMBER(B38)),C38="",COUNTBLANK(G38:K38)&gt;0),"",IF(AND(G38="Yes",H38="Yes",I38="Yes",J38="Yes",K38="No"),IF(COUNTIFS($B$9:B38,"&gt;0",$C$9:C38,C38,$G$9:G38,"Yes",$H$9:H38,"Yes",$I$9:I38,"Yes",$J$9:J38,"Yes",$K$9:K38,"No")=1,1,0),0))</x:f>
      </x:c>
      <x:c r="N38" s="2" t="str">
        <x:f>IF(M38="","",IF(AND(M38=1,E38="paid_social",OR(D38="Facebook",D38="Instagram",D38="TikTok"),OR(L38="Observed",L38="Self-reported"),O38&lt;&gt;""),1,0))</x:f>
      </x:c>
      <x:c r="O38" s="5"/>
    </x:row>
    <x:row r="39" ht="23" customHeight="1">
      <x:c r="B39" s="6"/>
      <x:c r="C39" s="5"/>
      <x:c r="D39" s="5"/>
      <x:c r="E39" s="5"/>
      <x:c r="F39" s="5"/>
      <x:c r="G39" s="5"/>
      <x:c r="H39" s="5"/>
      <x:c r="I39" s="5"/>
      <x:c r="J39" s="5"/>
      <x:c r="K39" s="5"/>
      <x:c r="L39" s="5"/>
      <x:c r="M39" s="2" t="str">
        <x:f>IF(OR(NOT(ISNUMBER(B39)),C39="",COUNTBLANK(G39:K39)&gt;0),"",IF(AND(G39="Yes",H39="Yes",I39="Yes",J39="Yes",K39="No"),IF(COUNTIFS($B$9:B39,"&gt;0",$C$9:C39,C39,$G$9:G39,"Yes",$H$9:H39,"Yes",$I$9:I39,"Yes",$J$9:J39,"Yes",$K$9:K39,"No")=1,1,0),0))</x:f>
      </x:c>
      <x:c r="N39" s="2" t="str">
        <x:f>IF(M39="","",IF(AND(M39=1,E39="paid_social",OR(D39="Facebook",D39="Instagram",D39="TikTok"),OR(L39="Observed",L39="Self-reported"),O39&lt;&gt;""),1,0))</x:f>
      </x:c>
      <x:c r="O39" s="5"/>
    </x:row>
    <x:row r="40" ht="23" customHeight="1">
      <x:c r="B40" s="6"/>
      <x:c r="C40" s="5"/>
      <x:c r="D40" s="5"/>
      <x:c r="E40" s="5"/>
      <x:c r="F40" s="5"/>
      <x:c r="G40" s="5"/>
      <x:c r="H40" s="5"/>
      <x:c r="I40" s="5"/>
      <x:c r="J40" s="5"/>
      <x:c r="K40" s="5"/>
      <x:c r="L40" s="5"/>
      <x:c r="M40" s="2" t="str">
        <x:f>IF(OR(NOT(ISNUMBER(B40)),C40="",COUNTBLANK(G40:K40)&gt;0),"",IF(AND(G40="Yes",H40="Yes",I40="Yes",J40="Yes",K40="No"),IF(COUNTIFS($B$9:B40,"&gt;0",$C$9:C40,C40,$G$9:G40,"Yes",$H$9:H40,"Yes",$I$9:I40,"Yes",$J$9:J40,"Yes",$K$9:K40,"No")=1,1,0),0))</x:f>
      </x:c>
      <x:c r="N40" s="2" t="str">
        <x:f>IF(M40="","",IF(AND(M40=1,E40="paid_social",OR(D40="Facebook",D40="Instagram",D40="TikTok"),OR(L40="Observed",L40="Self-reported"),O40&lt;&gt;""),1,0))</x:f>
      </x:c>
      <x:c r="O40" s="5"/>
    </x:row>
    <x:row r="41" ht="23" customHeight="1">
      <x:c r="B41" s="6"/>
      <x:c r="C41" s="5"/>
      <x:c r="D41" s="5"/>
      <x:c r="E41" s="5"/>
      <x:c r="F41" s="5"/>
      <x:c r="G41" s="5"/>
      <x:c r="H41" s="5"/>
      <x:c r="I41" s="5"/>
      <x:c r="J41" s="5"/>
      <x:c r="K41" s="5"/>
      <x:c r="L41" s="5"/>
      <x:c r="M41" s="2" t="str">
        <x:f>IF(OR(NOT(ISNUMBER(B41)),C41="",COUNTBLANK(G41:K41)&gt;0),"",IF(AND(G41="Yes",H41="Yes",I41="Yes",J41="Yes",K41="No"),IF(COUNTIFS($B$9:B41,"&gt;0",$C$9:C41,C41,$G$9:G41,"Yes",$H$9:H41,"Yes",$I$9:I41,"Yes",$J$9:J41,"Yes",$K$9:K41,"No")=1,1,0),0))</x:f>
      </x:c>
      <x:c r="N41" s="2" t="str">
        <x:f>IF(M41="","",IF(AND(M41=1,E41="paid_social",OR(D41="Facebook",D41="Instagram",D41="TikTok"),OR(L41="Observed",L41="Self-reported"),O41&lt;&gt;""),1,0))</x:f>
      </x:c>
      <x:c r="O41" s="5"/>
    </x:row>
    <x:row r="42" ht="23" customHeight="1">
      <x:c r="B42" s="6"/>
      <x:c r="C42" s="5"/>
      <x:c r="D42" s="5"/>
      <x:c r="E42" s="5"/>
      <x:c r="F42" s="5"/>
      <x:c r="G42" s="5"/>
      <x:c r="H42" s="5"/>
      <x:c r="I42" s="5"/>
      <x:c r="J42" s="5"/>
      <x:c r="K42" s="5"/>
      <x:c r="L42" s="5"/>
      <x:c r="M42" s="2" t="str">
        <x:f>IF(OR(NOT(ISNUMBER(B42)),C42="",COUNTBLANK(G42:K42)&gt;0),"",IF(AND(G42="Yes",H42="Yes",I42="Yes",J42="Yes",K42="No"),IF(COUNTIFS($B$9:B42,"&gt;0",$C$9:C42,C42,$G$9:G42,"Yes",$H$9:H42,"Yes",$I$9:I42,"Yes",$J$9:J42,"Yes",$K$9:K42,"No")=1,1,0),0))</x:f>
      </x:c>
      <x:c r="N42" s="2" t="str">
        <x:f>IF(M42="","",IF(AND(M42=1,E42="paid_social",OR(D42="Facebook",D42="Instagram",D42="TikTok"),OR(L42="Observed",L42="Self-reported"),O42&lt;&gt;""),1,0))</x:f>
      </x:c>
      <x:c r="O42" s="5"/>
    </x:row>
    <x:row r="43" ht="23" customHeight="1">
      <x:c r="B43" s="6"/>
      <x:c r="C43" s="5"/>
      <x:c r="D43" s="5"/>
      <x:c r="E43" s="5"/>
      <x:c r="F43" s="5"/>
      <x:c r="G43" s="5"/>
      <x:c r="H43" s="5"/>
      <x:c r="I43" s="5"/>
      <x:c r="J43" s="5"/>
      <x:c r="K43" s="5"/>
      <x:c r="L43" s="5"/>
      <x:c r="M43" s="2" t="str">
        <x:f>IF(OR(NOT(ISNUMBER(B43)),C43="",COUNTBLANK(G43:K43)&gt;0),"",IF(AND(G43="Yes",H43="Yes",I43="Yes",J43="Yes",K43="No"),IF(COUNTIFS($B$9:B43,"&gt;0",$C$9:C43,C43,$G$9:G43,"Yes",$H$9:H43,"Yes",$I$9:I43,"Yes",$J$9:J43,"Yes",$K$9:K43,"No")=1,1,0),0))</x:f>
      </x:c>
      <x:c r="N43" s="2" t="str">
        <x:f>IF(M43="","",IF(AND(M43=1,E43="paid_social",OR(D43="Facebook",D43="Instagram",D43="TikTok"),OR(L43="Observed",L43="Self-reported"),O43&lt;&gt;""),1,0))</x:f>
      </x:c>
      <x:c r="O43" s="5"/>
    </x:row>
    <x:row r="44" ht="23" customHeight="1">
      <x:c r="B44" s="6"/>
      <x:c r="C44" s="5"/>
      <x:c r="D44" s="5"/>
      <x:c r="E44" s="5"/>
      <x:c r="F44" s="5"/>
      <x:c r="G44" s="5"/>
      <x:c r="H44" s="5"/>
      <x:c r="I44" s="5"/>
      <x:c r="J44" s="5"/>
      <x:c r="K44" s="5"/>
      <x:c r="L44" s="5"/>
      <x:c r="M44" s="2" t="str">
        <x:f>IF(OR(NOT(ISNUMBER(B44)),C44="",COUNTBLANK(G44:K44)&gt;0),"",IF(AND(G44="Yes",H44="Yes",I44="Yes",J44="Yes",K44="No"),IF(COUNTIFS($B$9:B44,"&gt;0",$C$9:C44,C44,$G$9:G44,"Yes",$H$9:H44,"Yes",$I$9:I44,"Yes",$J$9:J44,"Yes",$K$9:K44,"No")=1,1,0),0))</x:f>
      </x:c>
      <x:c r="N44" s="2" t="str">
        <x:f>IF(M44="","",IF(AND(M44=1,E44="paid_social",OR(D44="Facebook",D44="Instagram",D44="TikTok"),OR(L44="Observed",L44="Self-reported"),O44&lt;&gt;""),1,0))</x:f>
      </x:c>
      <x:c r="O44" s="5"/>
    </x:row>
    <x:row r="45" ht="23" customHeight="1">
      <x:c r="B45" s="6"/>
      <x:c r="C45" s="5"/>
      <x:c r="D45" s="5"/>
      <x:c r="E45" s="5"/>
      <x:c r="F45" s="5"/>
      <x:c r="G45" s="5"/>
      <x:c r="H45" s="5"/>
      <x:c r="I45" s="5"/>
      <x:c r="J45" s="5"/>
      <x:c r="K45" s="5"/>
      <x:c r="L45" s="5"/>
      <x:c r="M45" s="2" t="str">
        <x:f>IF(OR(NOT(ISNUMBER(B45)),C45="",COUNTBLANK(G45:K45)&gt;0),"",IF(AND(G45="Yes",H45="Yes",I45="Yes",J45="Yes",K45="No"),IF(COUNTIFS($B$9:B45,"&gt;0",$C$9:C45,C45,$G$9:G45,"Yes",$H$9:H45,"Yes",$I$9:I45,"Yes",$J$9:J45,"Yes",$K$9:K45,"No")=1,1,0),0))</x:f>
      </x:c>
      <x:c r="N45" s="2" t="str">
        <x:f>IF(M45="","",IF(AND(M45=1,E45="paid_social",OR(D45="Facebook",D45="Instagram",D45="TikTok"),OR(L45="Observed",L45="Self-reported"),O45&lt;&gt;""),1,0))</x:f>
      </x:c>
      <x:c r="O45" s="5"/>
    </x:row>
    <x:row r="46" ht="23" customHeight="1">
      <x:c r="B46" s="6"/>
      <x:c r="C46" s="5"/>
      <x:c r="D46" s="5"/>
      <x:c r="E46" s="5"/>
      <x:c r="F46" s="5"/>
      <x:c r="G46" s="5"/>
      <x:c r="H46" s="5"/>
      <x:c r="I46" s="5"/>
      <x:c r="J46" s="5"/>
      <x:c r="K46" s="5"/>
      <x:c r="L46" s="5"/>
      <x:c r="M46" s="2" t="str">
        <x:f>IF(OR(NOT(ISNUMBER(B46)),C46="",COUNTBLANK(G46:K46)&gt;0),"",IF(AND(G46="Yes",H46="Yes",I46="Yes",J46="Yes",K46="No"),IF(COUNTIFS($B$9:B46,"&gt;0",$C$9:C46,C46,$G$9:G46,"Yes",$H$9:H46,"Yes",$I$9:I46,"Yes",$J$9:J46,"Yes",$K$9:K46,"No")=1,1,0),0))</x:f>
      </x:c>
      <x:c r="N46" s="2" t="str">
        <x:f>IF(M46="","",IF(AND(M46=1,E46="paid_social",OR(D46="Facebook",D46="Instagram",D46="TikTok"),OR(L46="Observed",L46="Self-reported"),O46&lt;&gt;""),1,0))</x:f>
      </x:c>
      <x:c r="O46" s="5"/>
    </x:row>
    <x:row r="47" ht="23" customHeight="1">
      <x:c r="B47" s="6"/>
      <x:c r="C47" s="5"/>
      <x:c r="D47" s="5"/>
      <x:c r="E47" s="5"/>
      <x:c r="F47" s="5"/>
      <x:c r="G47" s="5"/>
      <x:c r="H47" s="5"/>
      <x:c r="I47" s="5"/>
      <x:c r="J47" s="5"/>
      <x:c r="K47" s="5"/>
      <x:c r="L47" s="5"/>
      <x:c r="M47" s="2" t="str">
        <x:f>IF(OR(NOT(ISNUMBER(B47)),C47="",COUNTBLANK(G47:K47)&gt;0),"",IF(AND(G47="Yes",H47="Yes",I47="Yes",J47="Yes",K47="No"),IF(COUNTIFS($B$9:B47,"&gt;0",$C$9:C47,C47,$G$9:G47,"Yes",$H$9:H47,"Yes",$I$9:I47,"Yes",$J$9:J47,"Yes",$K$9:K47,"No")=1,1,0),0))</x:f>
      </x:c>
      <x:c r="N47" s="2" t="str">
        <x:f>IF(M47="","",IF(AND(M47=1,E47="paid_social",OR(D47="Facebook",D47="Instagram",D47="TikTok"),OR(L47="Observed",L47="Self-reported"),O47&lt;&gt;""),1,0))</x:f>
      </x:c>
      <x:c r="O47" s="5"/>
    </x:row>
    <x:row r="48" ht="23" customHeight="1">
      <x:c r="B48" s="6"/>
      <x:c r="C48" s="5"/>
      <x:c r="D48" s="5"/>
      <x:c r="E48" s="5"/>
      <x:c r="F48" s="5"/>
      <x:c r="G48" s="5"/>
      <x:c r="H48" s="5"/>
      <x:c r="I48" s="5"/>
      <x:c r="J48" s="5"/>
      <x:c r="K48" s="5"/>
      <x:c r="L48" s="5"/>
      <x:c r="M48" s="2" t="str">
        <x:f>IF(OR(NOT(ISNUMBER(B48)),C48="",COUNTBLANK(G48:K48)&gt;0),"",IF(AND(G48="Yes",H48="Yes",I48="Yes",J48="Yes",K48="No"),IF(COUNTIFS($B$9:B48,"&gt;0",$C$9:C48,C48,$G$9:G48,"Yes",$H$9:H48,"Yes",$I$9:I48,"Yes",$J$9:J48,"Yes",$K$9:K48,"No")=1,1,0),0))</x:f>
      </x:c>
      <x:c r="N48" s="2" t="str">
        <x:f>IF(M48="","",IF(AND(M48=1,E48="paid_social",OR(D48="Facebook",D48="Instagram",D48="TikTok"),OR(L48="Observed",L48="Self-reported"),O48&lt;&gt;""),1,0))</x:f>
      </x:c>
      <x:c r="O48" s="5"/>
    </x:row>
    <x:row r="49" ht="23" customHeight="1">
      <x:c r="B49" s="6"/>
      <x:c r="C49" s="5"/>
      <x:c r="D49" s="5"/>
      <x:c r="E49" s="5"/>
      <x:c r="F49" s="5"/>
      <x:c r="G49" s="5"/>
      <x:c r="H49" s="5"/>
      <x:c r="I49" s="5"/>
      <x:c r="J49" s="5"/>
      <x:c r="K49" s="5"/>
      <x:c r="L49" s="5"/>
      <x:c r="M49" s="2" t="str">
        <x:f>IF(OR(NOT(ISNUMBER(B49)),C49="",COUNTBLANK(G49:K49)&gt;0),"",IF(AND(G49="Yes",H49="Yes",I49="Yes",J49="Yes",K49="No"),IF(COUNTIFS($B$9:B49,"&gt;0",$C$9:C49,C49,$G$9:G49,"Yes",$H$9:H49,"Yes",$I$9:I49,"Yes",$J$9:J49,"Yes",$K$9:K49,"No")=1,1,0),0))</x:f>
      </x:c>
      <x:c r="N49" s="2" t="str">
        <x:f>IF(M49="","",IF(AND(M49=1,E49="paid_social",OR(D49="Facebook",D49="Instagram",D49="TikTok"),OR(L49="Observed",L49="Self-reported"),O49&lt;&gt;""),1,0))</x:f>
      </x:c>
      <x:c r="O49" s="5"/>
    </x:row>
    <x:row r="50" ht="23" customHeight="1">
      <x:c r="B50" s="6"/>
      <x:c r="C50" s="5"/>
      <x:c r="D50" s="5"/>
      <x:c r="E50" s="5"/>
      <x:c r="F50" s="5"/>
      <x:c r="G50" s="5"/>
      <x:c r="H50" s="5"/>
      <x:c r="I50" s="5"/>
      <x:c r="J50" s="5"/>
      <x:c r="K50" s="5"/>
      <x:c r="L50" s="5"/>
      <x:c r="M50" s="2" t="str">
        <x:f>IF(OR(NOT(ISNUMBER(B50)),C50="",COUNTBLANK(G50:K50)&gt;0),"",IF(AND(G50="Yes",H50="Yes",I50="Yes",J50="Yes",K50="No"),IF(COUNTIFS($B$9:B50,"&gt;0",$C$9:C50,C50,$G$9:G50,"Yes",$H$9:H50,"Yes",$I$9:I50,"Yes",$J$9:J50,"Yes",$K$9:K50,"No")=1,1,0),0))</x:f>
      </x:c>
      <x:c r="N50" s="2" t="str">
        <x:f>IF(M50="","",IF(AND(M50=1,E50="paid_social",OR(D50="Facebook",D50="Instagram",D50="TikTok"),OR(L50="Observed",L50="Self-reported"),O50&lt;&gt;""),1,0))</x:f>
      </x:c>
      <x:c r="O50" s="5"/>
    </x:row>
    <x:row r="51" ht="23" customHeight="1">
      <x:c r="B51" s="6"/>
      <x:c r="C51" s="5"/>
      <x:c r="D51" s="5"/>
      <x:c r="E51" s="5"/>
      <x:c r="F51" s="5"/>
      <x:c r="G51" s="5"/>
      <x:c r="H51" s="5"/>
      <x:c r="I51" s="5"/>
      <x:c r="J51" s="5"/>
      <x:c r="K51" s="5"/>
      <x:c r="L51" s="5"/>
      <x:c r="M51" s="2" t="str">
        <x:f>IF(OR(NOT(ISNUMBER(B51)),C51="",COUNTBLANK(G51:K51)&gt;0),"",IF(AND(G51="Yes",H51="Yes",I51="Yes",J51="Yes",K51="No"),IF(COUNTIFS($B$9:B51,"&gt;0",$C$9:C51,C51,$G$9:G51,"Yes",$H$9:H51,"Yes",$I$9:I51,"Yes",$J$9:J51,"Yes",$K$9:K51,"No")=1,1,0),0))</x:f>
      </x:c>
      <x:c r="N51" s="2" t="str">
        <x:f>IF(M51="","",IF(AND(M51=1,E51="paid_social",OR(D51="Facebook",D51="Instagram",D51="TikTok"),OR(L51="Observed",L51="Self-reported"),O51&lt;&gt;""),1,0))</x:f>
      </x:c>
      <x:c r="O51" s="5"/>
    </x:row>
    <x:row r="52" ht="23" customHeight="1">
      <x:c r="B52" s="6"/>
      <x:c r="C52" s="5"/>
      <x:c r="D52" s="5"/>
      <x:c r="E52" s="5"/>
      <x:c r="F52" s="5"/>
      <x:c r="G52" s="5"/>
      <x:c r="H52" s="5"/>
      <x:c r="I52" s="5"/>
      <x:c r="J52" s="5"/>
      <x:c r="K52" s="5"/>
      <x:c r="L52" s="5"/>
      <x:c r="M52" s="2" t="str">
        <x:f>IF(OR(NOT(ISNUMBER(B52)),C52="",COUNTBLANK(G52:K52)&gt;0),"",IF(AND(G52="Yes",H52="Yes",I52="Yes",J52="Yes",K52="No"),IF(COUNTIFS($B$9:B52,"&gt;0",$C$9:C52,C52,$G$9:G52,"Yes",$H$9:H52,"Yes",$I$9:I52,"Yes",$J$9:J52,"Yes",$K$9:K52,"No")=1,1,0),0))</x:f>
      </x:c>
      <x:c r="N52" s="2" t="str">
        <x:f>IF(M52="","",IF(AND(M52=1,E52="paid_social",OR(D52="Facebook",D52="Instagram",D52="TikTok"),OR(L52="Observed",L52="Self-reported"),O52&lt;&gt;""),1,0))</x:f>
      </x:c>
      <x:c r="O52" s="5"/>
    </x:row>
    <x:row r="53" ht="23" customHeight="1">
      <x:c r="B53" s="6"/>
      <x:c r="C53" s="5"/>
      <x:c r="D53" s="5"/>
      <x:c r="E53" s="5"/>
      <x:c r="F53" s="5"/>
      <x:c r="G53" s="5"/>
      <x:c r="H53" s="5"/>
      <x:c r="I53" s="5"/>
      <x:c r="J53" s="5"/>
      <x:c r="K53" s="5"/>
      <x:c r="L53" s="5"/>
      <x:c r="M53" s="2" t="str">
        <x:f>IF(OR(NOT(ISNUMBER(B53)),C53="",COUNTBLANK(G53:K53)&gt;0),"",IF(AND(G53="Yes",H53="Yes",I53="Yes",J53="Yes",K53="No"),IF(COUNTIFS($B$9:B53,"&gt;0",$C$9:C53,C53,$G$9:G53,"Yes",$H$9:H53,"Yes",$I$9:I53,"Yes",$J$9:J53,"Yes",$K$9:K53,"No")=1,1,0),0))</x:f>
      </x:c>
      <x:c r="N53" s="2" t="str">
        <x:f>IF(M53="","",IF(AND(M53=1,E53="paid_social",OR(D53="Facebook",D53="Instagram",D53="TikTok"),OR(L53="Observed",L53="Self-reported"),O53&lt;&gt;""),1,0))</x:f>
      </x:c>
      <x:c r="O53" s="5"/>
    </x:row>
    <x:row r="54" ht="23" customHeight="1">
      <x:c r="B54" s="6"/>
      <x:c r="C54" s="5"/>
      <x:c r="D54" s="5"/>
      <x:c r="E54" s="5"/>
      <x:c r="F54" s="5"/>
      <x:c r="G54" s="5"/>
      <x:c r="H54" s="5"/>
      <x:c r="I54" s="5"/>
      <x:c r="J54" s="5"/>
      <x:c r="K54" s="5"/>
      <x:c r="L54" s="5"/>
      <x:c r="M54" s="2" t="str">
        <x:f>IF(OR(NOT(ISNUMBER(B54)),C54="",COUNTBLANK(G54:K54)&gt;0),"",IF(AND(G54="Yes",H54="Yes",I54="Yes",J54="Yes",K54="No"),IF(COUNTIFS($B$9:B54,"&gt;0",$C$9:C54,C54,$G$9:G54,"Yes",$H$9:H54,"Yes",$I$9:I54,"Yes",$J$9:J54,"Yes",$K$9:K54,"No")=1,1,0),0))</x:f>
      </x:c>
      <x:c r="N54" s="2" t="str">
        <x:f>IF(M54="","",IF(AND(M54=1,E54="paid_social",OR(D54="Facebook",D54="Instagram",D54="TikTok"),OR(L54="Observed",L54="Self-reported"),O54&lt;&gt;""),1,0))</x:f>
      </x:c>
      <x:c r="O54" s="5"/>
    </x:row>
    <x:row r="55" ht="23" customHeight="1">
      <x:c r="B55" s="6"/>
      <x:c r="C55" s="5"/>
      <x:c r="D55" s="5"/>
      <x:c r="E55" s="5"/>
      <x:c r="F55" s="5"/>
      <x:c r="G55" s="5"/>
      <x:c r="H55" s="5"/>
      <x:c r="I55" s="5"/>
      <x:c r="J55" s="5"/>
      <x:c r="K55" s="5"/>
      <x:c r="L55" s="5"/>
      <x:c r="M55" s="2" t="str">
        <x:f>IF(OR(NOT(ISNUMBER(B55)),C55="",COUNTBLANK(G55:K55)&gt;0),"",IF(AND(G55="Yes",H55="Yes",I55="Yes",J55="Yes",K55="No"),IF(COUNTIFS($B$9:B55,"&gt;0",$C$9:C55,C55,$G$9:G55,"Yes",$H$9:H55,"Yes",$I$9:I55,"Yes",$J$9:J55,"Yes",$K$9:K55,"No")=1,1,0),0))</x:f>
      </x:c>
      <x:c r="N55" s="2" t="str">
        <x:f>IF(M55="","",IF(AND(M55=1,E55="paid_social",OR(D55="Facebook",D55="Instagram",D55="TikTok"),OR(L55="Observed",L55="Self-reported"),O55&lt;&gt;""),1,0))</x:f>
      </x:c>
      <x:c r="O55" s="5"/>
    </x:row>
    <x:row r="56" ht="23" customHeight="1">
      <x:c r="B56" s="6"/>
      <x:c r="C56" s="5"/>
      <x:c r="D56" s="5"/>
      <x:c r="E56" s="5"/>
      <x:c r="F56" s="5"/>
      <x:c r="G56" s="5"/>
      <x:c r="H56" s="5"/>
      <x:c r="I56" s="5"/>
      <x:c r="J56" s="5"/>
      <x:c r="K56" s="5"/>
      <x:c r="L56" s="5"/>
      <x:c r="M56" s="2" t="str">
        <x:f>IF(OR(NOT(ISNUMBER(B56)),C56="",COUNTBLANK(G56:K56)&gt;0),"",IF(AND(G56="Yes",H56="Yes",I56="Yes",J56="Yes",K56="No"),IF(COUNTIFS($B$9:B56,"&gt;0",$C$9:C56,C56,$G$9:G56,"Yes",$H$9:H56,"Yes",$I$9:I56,"Yes",$J$9:J56,"Yes",$K$9:K56,"No")=1,1,0),0))</x:f>
      </x:c>
      <x:c r="N56" s="2" t="str">
        <x:f>IF(M56="","",IF(AND(M56=1,E56="paid_social",OR(D56="Facebook",D56="Instagram",D56="TikTok"),OR(L56="Observed",L56="Self-reported"),O56&lt;&gt;""),1,0))</x:f>
      </x:c>
      <x:c r="O56" s="5"/>
    </x:row>
    <x:row r="57" ht="23" customHeight="1">
      <x:c r="B57" s="6"/>
      <x:c r="C57" s="5"/>
      <x:c r="D57" s="5"/>
      <x:c r="E57" s="5"/>
      <x:c r="F57" s="5"/>
      <x:c r="G57" s="5"/>
      <x:c r="H57" s="5"/>
      <x:c r="I57" s="5"/>
      <x:c r="J57" s="5"/>
      <x:c r="K57" s="5"/>
      <x:c r="L57" s="5"/>
      <x:c r="M57" s="2" t="str">
        <x:f>IF(OR(NOT(ISNUMBER(B57)),C57="",COUNTBLANK(G57:K57)&gt;0),"",IF(AND(G57="Yes",H57="Yes",I57="Yes",J57="Yes",K57="No"),IF(COUNTIFS($B$9:B57,"&gt;0",$C$9:C57,C57,$G$9:G57,"Yes",$H$9:H57,"Yes",$I$9:I57,"Yes",$J$9:J57,"Yes",$K$9:K57,"No")=1,1,0),0))</x:f>
      </x:c>
      <x:c r="N57" s="2" t="str">
        <x:f>IF(M57="","",IF(AND(M57=1,E57="paid_social",OR(D57="Facebook",D57="Instagram",D57="TikTok"),OR(L57="Observed",L57="Self-reported"),O57&lt;&gt;""),1,0))</x:f>
      </x:c>
      <x:c r="O57" s="5"/>
    </x:row>
    <x:row r="58" ht="23" customHeight="1">
      <x:c r="B58" s="6"/>
      <x:c r="C58" s="5"/>
      <x:c r="D58" s="5"/>
      <x:c r="E58" s="5"/>
      <x:c r="F58" s="5"/>
      <x:c r="G58" s="5"/>
      <x:c r="H58" s="5"/>
      <x:c r="I58" s="5"/>
      <x:c r="J58" s="5"/>
      <x:c r="K58" s="5"/>
      <x:c r="L58" s="5"/>
      <x:c r="M58" s="2" t="str">
        <x:f>IF(OR(NOT(ISNUMBER(B58)),C58="",COUNTBLANK(G58:K58)&gt;0),"",IF(AND(G58="Yes",H58="Yes",I58="Yes",J58="Yes",K58="No"),IF(COUNTIFS($B$9:B58,"&gt;0",$C$9:C58,C58,$G$9:G58,"Yes",$H$9:H58,"Yes",$I$9:I58,"Yes",$J$9:J58,"Yes",$K$9:K58,"No")=1,1,0),0))</x:f>
      </x:c>
      <x:c r="N58" s="2" t="str">
        <x:f>IF(M58="","",IF(AND(M58=1,E58="paid_social",OR(D58="Facebook",D58="Instagram",D58="TikTok"),OR(L58="Observed",L58="Self-reported"),O58&lt;&gt;""),1,0))</x:f>
      </x:c>
      <x:c r="O58" s="5"/>
    </x:row>
    <x:row r="59" ht="23" customHeight="1">
      <x:c r="B59" s="6"/>
      <x:c r="C59" s="5"/>
      <x:c r="D59" s="5"/>
      <x:c r="E59" s="5"/>
      <x:c r="F59" s="5"/>
      <x:c r="G59" s="5"/>
      <x:c r="H59" s="5"/>
      <x:c r="I59" s="5"/>
      <x:c r="J59" s="5"/>
      <x:c r="K59" s="5"/>
      <x:c r="L59" s="5"/>
      <x:c r="M59" s="2" t="str">
        <x:f>IF(OR(NOT(ISNUMBER(B59)),C59="",COUNTBLANK(G59:K59)&gt;0),"",IF(AND(G59="Yes",H59="Yes",I59="Yes",J59="Yes",K59="No"),IF(COUNTIFS($B$9:B59,"&gt;0",$C$9:C59,C59,$G$9:G59,"Yes",$H$9:H59,"Yes",$I$9:I59,"Yes",$J$9:J59,"Yes",$K$9:K59,"No")=1,1,0),0))</x:f>
      </x:c>
      <x:c r="N59" s="2" t="str">
        <x:f>IF(M59="","",IF(AND(M59=1,E59="paid_social",OR(D59="Facebook",D59="Instagram",D59="TikTok"),OR(L59="Observed",L59="Self-reported"),O59&lt;&gt;""),1,0))</x:f>
      </x:c>
      <x:c r="O59" s="5"/>
    </x:row>
    <x:row r="60" ht="23" customHeight="1">
      <x:c r="B60" s="6"/>
      <x:c r="C60" s="5"/>
      <x:c r="D60" s="5"/>
      <x:c r="E60" s="5"/>
      <x:c r="F60" s="5"/>
      <x:c r="G60" s="5"/>
      <x:c r="H60" s="5"/>
      <x:c r="I60" s="5"/>
      <x:c r="J60" s="5"/>
      <x:c r="K60" s="5"/>
      <x:c r="L60" s="5"/>
      <x:c r="M60" s="2" t="str">
        <x:f>IF(OR(NOT(ISNUMBER(B60)),C60="",COUNTBLANK(G60:K60)&gt;0),"",IF(AND(G60="Yes",H60="Yes",I60="Yes",J60="Yes",K60="No"),IF(COUNTIFS($B$9:B60,"&gt;0",$C$9:C60,C60,$G$9:G60,"Yes",$H$9:H60,"Yes",$I$9:I60,"Yes",$J$9:J60,"Yes",$K$9:K60,"No")=1,1,0),0))</x:f>
      </x:c>
      <x:c r="N60" s="2" t="str">
        <x:f>IF(M60="","",IF(AND(M60=1,E60="paid_social",OR(D60="Facebook",D60="Instagram",D60="TikTok"),OR(L60="Observed",L60="Self-reported"),O60&lt;&gt;""),1,0))</x:f>
      </x:c>
      <x:c r="O60" s="5"/>
    </x:row>
    <x:row r="61" ht="23" customHeight="1">
      <x:c r="B61" s="6"/>
      <x:c r="C61" s="5"/>
      <x:c r="D61" s="5"/>
      <x:c r="E61" s="5"/>
      <x:c r="F61" s="5"/>
      <x:c r="G61" s="5"/>
      <x:c r="H61" s="5"/>
      <x:c r="I61" s="5"/>
      <x:c r="J61" s="5"/>
      <x:c r="K61" s="5"/>
      <x:c r="L61" s="5"/>
      <x:c r="M61" s="2" t="str">
        <x:f>IF(OR(NOT(ISNUMBER(B61)),C61="",COUNTBLANK(G61:K61)&gt;0),"",IF(AND(G61="Yes",H61="Yes",I61="Yes",J61="Yes",K61="No"),IF(COUNTIFS($B$9:B61,"&gt;0",$C$9:C61,C61,$G$9:G61,"Yes",$H$9:H61,"Yes",$I$9:I61,"Yes",$J$9:J61,"Yes",$K$9:K61,"No")=1,1,0),0))</x:f>
      </x:c>
      <x:c r="N61" s="2" t="str">
        <x:f>IF(M61="","",IF(AND(M61=1,E61="paid_social",OR(D61="Facebook",D61="Instagram",D61="TikTok"),OR(L61="Observed",L61="Self-reported"),O61&lt;&gt;""),1,0))</x:f>
      </x:c>
      <x:c r="O61" s="5"/>
    </x:row>
    <x:row r="62" ht="23" customHeight="1">
      <x:c r="B62" s="6"/>
      <x:c r="C62" s="5"/>
      <x:c r="D62" s="5"/>
      <x:c r="E62" s="5"/>
      <x:c r="F62" s="5"/>
      <x:c r="G62" s="5"/>
      <x:c r="H62" s="5"/>
      <x:c r="I62" s="5"/>
      <x:c r="J62" s="5"/>
      <x:c r="K62" s="5"/>
      <x:c r="L62" s="5"/>
      <x:c r="M62" s="2" t="str">
        <x:f>IF(OR(NOT(ISNUMBER(B62)),C62="",COUNTBLANK(G62:K62)&gt;0),"",IF(AND(G62="Yes",H62="Yes",I62="Yes",J62="Yes",K62="No"),IF(COUNTIFS($B$9:B62,"&gt;0",$C$9:C62,C62,$G$9:G62,"Yes",$H$9:H62,"Yes",$I$9:I62,"Yes",$J$9:J62,"Yes",$K$9:K62,"No")=1,1,0),0))</x:f>
      </x:c>
      <x:c r="N62" s="2" t="str">
        <x:f>IF(M62="","",IF(AND(M62=1,E62="paid_social",OR(D62="Facebook",D62="Instagram",D62="TikTok"),OR(L62="Observed",L62="Self-reported"),O62&lt;&gt;""),1,0))</x:f>
      </x:c>
      <x:c r="O62" s="5"/>
    </x:row>
    <x:row r="63" ht="23" customHeight="1">
      <x:c r="B63" s="6"/>
      <x:c r="C63" s="5"/>
      <x:c r="D63" s="5"/>
      <x:c r="E63" s="5"/>
      <x:c r="F63" s="5"/>
      <x:c r="G63" s="5"/>
      <x:c r="H63" s="5"/>
      <x:c r="I63" s="5"/>
      <x:c r="J63" s="5"/>
      <x:c r="K63" s="5"/>
      <x:c r="L63" s="5"/>
      <x:c r="M63" s="2" t="str">
        <x:f>IF(OR(NOT(ISNUMBER(B63)),C63="",COUNTBLANK(G63:K63)&gt;0),"",IF(AND(G63="Yes",H63="Yes",I63="Yes",J63="Yes",K63="No"),IF(COUNTIFS($B$9:B63,"&gt;0",$C$9:C63,C63,$G$9:G63,"Yes",$H$9:H63,"Yes",$I$9:I63,"Yes",$J$9:J63,"Yes",$K$9:K63,"No")=1,1,0),0))</x:f>
      </x:c>
      <x:c r="N63" s="2" t="str">
        <x:f>IF(M63="","",IF(AND(M63=1,E63="paid_social",OR(D63="Facebook",D63="Instagram",D63="TikTok"),OR(L63="Observed",L63="Self-reported"),O63&lt;&gt;""),1,0))</x:f>
      </x:c>
      <x:c r="O63" s="5"/>
    </x:row>
    <x:row r="64" ht="23" customHeight="1">
      <x:c r="B64" s="6"/>
      <x:c r="C64" s="5"/>
      <x:c r="D64" s="5"/>
      <x:c r="E64" s="5"/>
      <x:c r="F64" s="5"/>
      <x:c r="G64" s="5"/>
      <x:c r="H64" s="5"/>
      <x:c r="I64" s="5"/>
      <x:c r="J64" s="5"/>
      <x:c r="K64" s="5"/>
      <x:c r="L64" s="5"/>
      <x:c r="M64" s="2" t="str">
        <x:f>IF(OR(NOT(ISNUMBER(B64)),C64="",COUNTBLANK(G64:K64)&gt;0),"",IF(AND(G64="Yes",H64="Yes",I64="Yes",J64="Yes",K64="No"),IF(COUNTIFS($B$9:B64,"&gt;0",$C$9:C64,C64,$G$9:G64,"Yes",$H$9:H64,"Yes",$I$9:I64,"Yes",$J$9:J64,"Yes",$K$9:K64,"No")=1,1,0),0))</x:f>
      </x:c>
      <x:c r="N64" s="2" t="str">
        <x:f>IF(M64="","",IF(AND(M64=1,E64="paid_social",OR(D64="Facebook",D64="Instagram",D64="TikTok"),OR(L64="Observed",L64="Self-reported"),O64&lt;&gt;""),1,0))</x:f>
      </x:c>
      <x:c r="O64" s="5"/>
    </x:row>
    <x:row r="65" ht="23" customHeight="1">
      <x:c r="B65" s="6"/>
      <x:c r="C65" s="5"/>
      <x:c r="D65" s="5"/>
      <x:c r="E65" s="5"/>
      <x:c r="F65" s="5"/>
      <x:c r="G65" s="5"/>
      <x:c r="H65" s="5"/>
      <x:c r="I65" s="5"/>
      <x:c r="J65" s="5"/>
      <x:c r="K65" s="5"/>
      <x:c r="L65" s="5"/>
      <x:c r="M65" s="2" t="str">
        <x:f>IF(OR(NOT(ISNUMBER(B65)),C65="",COUNTBLANK(G65:K65)&gt;0),"",IF(AND(G65="Yes",H65="Yes",I65="Yes",J65="Yes",K65="No"),IF(COUNTIFS($B$9:B65,"&gt;0",$C$9:C65,C65,$G$9:G65,"Yes",$H$9:H65,"Yes",$I$9:I65,"Yes",$J$9:J65,"Yes",$K$9:K65,"No")=1,1,0),0))</x:f>
      </x:c>
      <x:c r="N65" s="2" t="str">
        <x:f>IF(M65="","",IF(AND(M65=1,E65="paid_social",OR(D65="Facebook",D65="Instagram",D65="TikTok"),OR(L65="Observed",L65="Self-reported"),O65&lt;&gt;""),1,0))</x:f>
      </x:c>
      <x:c r="O65" s="5"/>
    </x:row>
    <x:row r="66" ht="23" customHeight="1">
      <x:c r="B66" s="6"/>
      <x:c r="C66" s="5"/>
      <x:c r="D66" s="5"/>
      <x:c r="E66" s="5"/>
      <x:c r="F66" s="5"/>
      <x:c r="G66" s="5"/>
      <x:c r="H66" s="5"/>
      <x:c r="I66" s="5"/>
      <x:c r="J66" s="5"/>
      <x:c r="K66" s="5"/>
      <x:c r="L66" s="5"/>
      <x:c r="M66" s="2" t="str">
        <x:f>IF(OR(NOT(ISNUMBER(B66)),C66="",COUNTBLANK(G66:K66)&gt;0),"",IF(AND(G66="Yes",H66="Yes",I66="Yes",J66="Yes",K66="No"),IF(COUNTIFS($B$9:B66,"&gt;0",$C$9:C66,C66,$G$9:G66,"Yes",$H$9:H66,"Yes",$I$9:I66,"Yes",$J$9:J66,"Yes",$K$9:K66,"No")=1,1,0),0))</x:f>
      </x:c>
      <x:c r="N66" s="2" t="str">
        <x:f>IF(M66="","",IF(AND(M66=1,E66="paid_social",OR(D66="Facebook",D66="Instagram",D66="TikTok"),OR(L66="Observed",L66="Self-reported"),O66&lt;&gt;""),1,0))</x:f>
      </x:c>
      <x:c r="O66" s="5"/>
    </x:row>
    <x:row r="67" ht="23" customHeight="1">
      <x:c r="B67" s="6"/>
      <x:c r="C67" s="5"/>
      <x:c r="D67" s="5"/>
      <x:c r="E67" s="5"/>
      <x:c r="F67" s="5"/>
      <x:c r="G67" s="5"/>
      <x:c r="H67" s="5"/>
      <x:c r="I67" s="5"/>
      <x:c r="J67" s="5"/>
      <x:c r="K67" s="5"/>
      <x:c r="L67" s="5"/>
      <x:c r="M67" s="2" t="str">
        <x:f>IF(OR(NOT(ISNUMBER(B67)),C67="",COUNTBLANK(G67:K67)&gt;0),"",IF(AND(G67="Yes",H67="Yes",I67="Yes",J67="Yes",K67="No"),IF(COUNTIFS($B$9:B67,"&gt;0",$C$9:C67,C67,$G$9:G67,"Yes",$H$9:H67,"Yes",$I$9:I67,"Yes",$J$9:J67,"Yes",$K$9:K67,"No")=1,1,0),0))</x:f>
      </x:c>
      <x:c r="N67" s="2" t="str">
        <x:f>IF(M67="","",IF(AND(M67=1,E67="paid_social",OR(D67="Facebook",D67="Instagram",D67="TikTok"),OR(L67="Observed",L67="Self-reported"),O67&lt;&gt;""),1,0))</x:f>
      </x:c>
      <x:c r="O67" s="5"/>
    </x:row>
    <x:row r="68" ht="23" customHeight="1">
      <x:c r="B68" s="6"/>
      <x:c r="C68" s="5"/>
      <x:c r="D68" s="5"/>
      <x:c r="E68" s="5"/>
      <x:c r="F68" s="5"/>
      <x:c r="G68" s="5"/>
      <x:c r="H68" s="5"/>
      <x:c r="I68" s="5"/>
      <x:c r="J68" s="5"/>
      <x:c r="K68" s="5"/>
      <x:c r="L68" s="5"/>
      <x:c r="M68" s="2" t="str">
        <x:f>IF(OR(NOT(ISNUMBER(B68)),C68="",COUNTBLANK(G68:K68)&gt;0),"",IF(AND(G68="Yes",H68="Yes",I68="Yes",J68="Yes",K68="No"),IF(COUNTIFS($B$9:B68,"&gt;0",$C$9:C68,C68,$G$9:G68,"Yes",$H$9:H68,"Yes",$I$9:I68,"Yes",$J$9:J68,"Yes",$K$9:K68,"No")=1,1,0),0))</x:f>
      </x:c>
      <x:c r="N68" s="2" t="str">
        <x:f>IF(M68="","",IF(AND(M68=1,E68="paid_social",OR(D68="Facebook",D68="Instagram",D68="TikTok"),OR(L68="Observed",L68="Self-reported"),O68&lt;&gt;""),1,0))</x:f>
      </x:c>
      <x:c r="O68" s="5"/>
    </x:row>
    <x:row r="69" ht="23" customHeight="1">
      <x:c r="B69" s="6"/>
      <x:c r="C69" s="5"/>
      <x:c r="D69" s="5"/>
      <x:c r="E69" s="5"/>
      <x:c r="F69" s="5"/>
      <x:c r="G69" s="5"/>
      <x:c r="H69" s="5"/>
      <x:c r="I69" s="5"/>
      <x:c r="J69" s="5"/>
      <x:c r="K69" s="5"/>
      <x:c r="L69" s="5"/>
      <x:c r="M69" s="2" t="str">
        <x:f>IF(OR(NOT(ISNUMBER(B69)),C69="",COUNTBLANK(G69:K69)&gt;0),"",IF(AND(G69="Yes",H69="Yes",I69="Yes",J69="Yes",K69="No"),IF(COUNTIFS($B$9:B69,"&gt;0",$C$9:C69,C69,$G$9:G69,"Yes",$H$9:H69,"Yes",$I$9:I69,"Yes",$J$9:J69,"Yes",$K$9:K69,"No")=1,1,0),0))</x:f>
      </x:c>
      <x:c r="N69" s="2" t="str">
        <x:f>IF(M69="","",IF(AND(M69=1,E69="paid_social",OR(D69="Facebook",D69="Instagram",D69="TikTok"),OR(L69="Observed",L69="Self-reported"),O69&lt;&gt;""),1,0))</x:f>
      </x:c>
      <x:c r="O69" s="5"/>
    </x:row>
    <x:row r="70" ht="23" customHeight="1">
      <x:c r="B70" s="6"/>
      <x:c r="C70" s="5"/>
      <x:c r="D70" s="5"/>
      <x:c r="E70" s="5"/>
      <x:c r="F70" s="5"/>
      <x:c r="G70" s="5"/>
      <x:c r="H70" s="5"/>
      <x:c r="I70" s="5"/>
      <x:c r="J70" s="5"/>
      <x:c r="K70" s="5"/>
      <x:c r="L70" s="5"/>
      <x:c r="M70" s="2" t="str">
        <x:f>IF(OR(NOT(ISNUMBER(B70)),C70="",COUNTBLANK(G70:K70)&gt;0),"",IF(AND(G70="Yes",H70="Yes",I70="Yes",J70="Yes",K70="No"),IF(COUNTIFS($B$9:B70,"&gt;0",$C$9:C70,C70,$G$9:G70,"Yes",$H$9:H70,"Yes",$I$9:I70,"Yes",$J$9:J70,"Yes",$K$9:K70,"No")=1,1,0),0))</x:f>
      </x:c>
      <x:c r="N70" s="2" t="str">
        <x:f>IF(M70="","",IF(AND(M70=1,E70="paid_social",OR(D70="Facebook",D70="Instagram",D70="TikTok"),OR(L70="Observed",L70="Self-reported"),O70&lt;&gt;""),1,0))</x:f>
      </x:c>
      <x:c r="O70" s="5"/>
    </x:row>
    <x:row r="71" ht="23" customHeight="1">
      <x:c r="B71" s="6"/>
      <x:c r="C71" s="5"/>
      <x:c r="D71" s="5"/>
      <x:c r="E71" s="5"/>
      <x:c r="F71" s="5"/>
      <x:c r="G71" s="5"/>
      <x:c r="H71" s="5"/>
      <x:c r="I71" s="5"/>
      <x:c r="J71" s="5"/>
      <x:c r="K71" s="5"/>
      <x:c r="L71" s="5"/>
      <x:c r="M71" s="2" t="str">
        <x:f>IF(OR(NOT(ISNUMBER(B71)),C71="",COUNTBLANK(G71:K71)&gt;0),"",IF(AND(G71="Yes",H71="Yes",I71="Yes",J71="Yes",K71="No"),IF(COUNTIFS($B$9:B71,"&gt;0",$C$9:C71,C71,$G$9:G71,"Yes",$H$9:H71,"Yes",$I$9:I71,"Yes",$J$9:J71,"Yes",$K$9:K71,"No")=1,1,0),0))</x:f>
      </x:c>
      <x:c r="N71" s="2" t="str">
        <x:f>IF(M71="","",IF(AND(M71=1,E71="paid_social",OR(D71="Facebook",D71="Instagram",D71="TikTok"),OR(L71="Observed",L71="Self-reported"),O71&lt;&gt;""),1,0))</x:f>
      </x:c>
      <x:c r="O71" s="5"/>
    </x:row>
    <x:row r="72" ht="23" customHeight="1">
      <x:c r="B72" s="6"/>
      <x:c r="C72" s="5"/>
      <x:c r="D72" s="5"/>
      <x:c r="E72" s="5"/>
      <x:c r="F72" s="5"/>
      <x:c r="G72" s="5"/>
      <x:c r="H72" s="5"/>
      <x:c r="I72" s="5"/>
      <x:c r="J72" s="5"/>
      <x:c r="K72" s="5"/>
      <x:c r="L72" s="5"/>
      <x:c r="M72" s="2" t="str">
        <x:f>IF(OR(NOT(ISNUMBER(B72)),C72="",COUNTBLANK(G72:K72)&gt;0),"",IF(AND(G72="Yes",H72="Yes",I72="Yes",J72="Yes",K72="No"),IF(COUNTIFS($B$9:B72,"&gt;0",$C$9:C72,C72,$G$9:G72,"Yes",$H$9:H72,"Yes",$I$9:I72,"Yes",$J$9:J72,"Yes",$K$9:K72,"No")=1,1,0),0))</x:f>
      </x:c>
      <x:c r="N72" s="2" t="str">
        <x:f>IF(M72="","",IF(AND(M72=1,E72="paid_social",OR(D72="Facebook",D72="Instagram",D72="TikTok"),OR(L72="Observed",L72="Self-reported"),O72&lt;&gt;""),1,0))</x:f>
      </x:c>
      <x:c r="O72" s="5"/>
    </x:row>
    <x:row r="73" ht="23" customHeight="1">
      <x:c r="B73" s="6"/>
      <x:c r="C73" s="5"/>
      <x:c r="D73" s="5"/>
      <x:c r="E73" s="5"/>
      <x:c r="F73" s="5"/>
      <x:c r="G73" s="5"/>
      <x:c r="H73" s="5"/>
      <x:c r="I73" s="5"/>
      <x:c r="J73" s="5"/>
      <x:c r="K73" s="5"/>
      <x:c r="L73" s="5"/>
      <x:c r="M73" s="2" t="str">
        <x:f>IF(OR(NOT(ISNUMBER(B73)),C73="",COUNTBLANK(G73:K73)&gt;0),"",IF(AND(G73="Yes",H73="Yes",I73="Yes",J73="Yes",K73="No"),IF(COUNTIFS($B$9:B73,"&gt;0",$C$9:C73,C73,$G$9:G73,"Yes",$H$9:H73,"Yes",$I$9:I73,"Yes",$J$9:J73,"Yes",$K$9:K73,"No")=1,1,0),0))</x:f>
      </x:c>
      <x:c r="N73" s="2" t="str">
        <x:f>IF(M73="","",IF(AND(M73=1,E73="paid_social",OR(D73="Facebook",D73="Instagram",D73="TikTok"),OR(L73="Observed",L73="Self-reported"),O73&lt;&gt;""),1,0))</x:f>
      </x:c>
      <x:c r="O73" s="5"/>
    </x:row>
    <x:row r="74" ht="23" customHeight="1">
      <x:c r="B74" s="6"/>
      <x:c r="C74" s="5"/>
      <x:c r="D74" s="5"/>
      <x:c r="E74" s="5"/>
      <x:c r="F74" s="5"/>
      <x:c r="G74" s="5"/>
      <x:c r="H74" s="5"/>
      <x:c r="I74" s="5"/>
      <x:c r="J74" s="5"/>
      <x:c r="K74" s="5"/>
      <x:c r="L74" s="5"/>
      <x:c r="M74" s="2" t="str">
        <x:f>IF(OR(NOT(ISNUMBER(B74)),C74="",COUNTBLANK(G74:K74)&gt;0),"",IF(AND(G74="Yes",H74="Yes",I74="Yes",J74="Yes",K74="No"),IF(COUNTIFS($B$9:B74,"&gt;0",$C$9:C74,C74,$G$9:G74,"Yes",$H$9:H74,"Yes",$I$9:I74,"Yes",$J$9:J74,"Yes",$K$9:K74,"No")=1,1,0),0))</x:f>
      </x:c>
      <x:c r="N74" s="2" t="str">
        <x:f>IF(M74="","",IF(AND(M74=1,E74="paid_social",OR(D74="Facebook",D74="Instagram",D74="TikTok"),OR(L74="Observed",L74="Self-reported"),O74&lt;&gt;""),1,0))</x:f>
      </x:c>
      <x:c r="O74" s="5"/>
    </x:row>
    <x:row r="75" ht="23" customHeight="1">
      <x:c r="B75" s="6"/>
      <x:c r="C75" s="5"/>
      <x:c r="D75" s="5"/>
      <x:c r="E75" s="5"/>
      <x:c r="F75" s="5"/>
      <x:c r="G75" s="5"/>
      <x:c r="H75" s="5"/>
      <x:c r="I75" s="5"/>
      <x:c r="J75" s="5"/>
      <x:c r="K75" s="5"/>
      <x:c r="L75" s="5"/>
      <x:c r="M75" s="2" t="str">
        <x:f>IF(OR(NOT(ISNUMBER(B75)),C75="",COUNTBLANK(G75:K75)&gt;0),"",IF(AND(G75="Yes",H75="Yes",I75="Yes",J75="Yes",K75="No"),IF(COUNTIFS($B$9:B75,"&gt;0",$C$9:C75,C75,$G$9:G75,"Yes",$H$9:H75,"Yes",$I$9:I75,"Yes",$J$9:J75,"Yes",$K$9:K75,"No")=1,1,0),0))</x:f>
      </x:c>
      <x:c r="N75" s="2" t="str">
        <x:f>IF(M75="","",IF(AND(M75=1,E75="paid_social",OR(D75="Facebook",D75="Instagram",D75="TikTok"),OR(L75="Observed",L75="Self-reported"),O75&lt;&gt;""),1,0))</x:f>
      </x:c>
      <x:c r="O75" s="5"/>
    </x:row>
    <x:row r="76" ht="23" customHeight="1">
      <x:c r="B76" s="6"/>
      <x:c r="C76" s="5"/>
      <x:c r="D76" s="5"/>
      <x:c r="E76" s="5"/>
      <x:c r="F76" s="5"/>
      <x:c r="G76" s="5"/>
      <x:c r="H76" s="5"/>
      <x:c r="I76" s="5"/>
      <x:c r="J76" s="5"/>
      <x:c r="K76" s="5"/>
      <x:c r="L76" s="5"/>
      <x:c r="M76" s="2" t="str">
        <x:f>IF(OR(NOT(ISNUMBER(B76)),C76="",COUNTBLANK(G76:K76)&gt;0),"",IF(AND(G76="Yes",H76="Yes",I76="Yes",J76="Yes",K76="No"),IF(COUNTIFS($B$9:B76,"&gt;0",$C$9:C76,C76,$G$9:G76,"Yes",$H$9:H76,"Yes",$I$9:I76,"Yes",$J$9:J76,"Yes",$K$9:K76,"No")=1,1,0),0))</x:f>
      </x:c>
      <x:c r="N76" s="2" t="str">
        <x:f>IF(M76="","",IF(AND(M76=1,E76="paid_social",OR(D76="Facebook",D76="Instagram",D76="TikTok"),OR(L76="Observed",L76="Self-reported"),O76&lt;&gt;""),1,0))</x:f>
      </x:c>
      <x:c r="O76" s="5"/>
    </x:row>
    <x:row r="77" ht="23" customHeight="1">
      <x:c r="B77" s="6"/>
      <x:c r="C77" s="5"/>
      <x:c r="D77" s="5"/>
      <x:c r="E77" s="5"/>
      <x:c r="F77" s="5"/>
      <x:c r="G77" s="5"/>
      <x:c r="H77" s="5"/>
      <x:c r="I77" s="5"/>
      <x:c r="J77" s="5"/>
      <x:c r="K77" s="5"/>
      <x:c r="L77" s="5"/>
      <x:c r="M77" s="2" t="str">
        <x:f>IF(OR(NOT(ISNUMBER(B77)),C77="",COUNTBLANK(G77:K77)&gt;0),"",IF(AND(G77="Yes",H77="Yes",I77="Yes",J77="Yes",K77="No"),IF(COUNTIFS($B$9:B77,"&gt;0",$C$9:C77,C77,$G$9:G77,"Yes",$H$9:H77,"Yes",$I$9:I77,"Yes",$J$9:J77,"Yes",$K$9:K77,"No")=1,1,0),0))</x:f>
      </x:c>
      <x:c r="N77" s="2" t="str">
        <x:f>IF(M77="","",IF(AND(M77=1,E77="paid_social",OR(D77="Facebook",D77="Instagram",D77="TikTok"),OR(L77="Observed",L77="Self-reported"),O77&lt;&gt;""),1,0))</x:f>
      </x:c>
      <x:c r="O77" s="5"/>
    </x:row>
    <x:row r="78" ht="23" customHeight="1">
      <x:c r="B78" s="6"/>
      <x:c r="C78" s="5"/>
      <x:c r="D78" s="5"/>
      <x:c r="E78" s="5"/>
      <x:c r="F78" s="5"/>
      <x:c r="G78" s="5"/>
      <x:c r="H78" s="5"/>
      <x:c r="I78" s="5"/>
      <x:c r="J78" s="5"/>
      <x:c r="K78" s="5"/>
      <x:c r="L78" s="5"/>
      <x:c r="M78" s="2" t="str">
        <x:f>IF(OR(NOT(ISNUMBER(B78)),C78="",COUNTBLANK(G78:K78)&gt;0),"",IF(AND(G78="Yes",H78="Yes",I78="Yes",J78="Yes",K78="No"),IF(COUNTIFS($B$9:B78,"&gt;0",$C$9:C78,C78,$G$9:G78,"Yes",$H$9:H78,"Yes",$I$9:I78,"Yes",$J$9:J78,"Yes",$K$9:K78,"No")=1,1,0),0))</x:f>
      </x:c>
      <x:c r="N78" s="2" t="str">
        <x:f>IF(M78="","",IF(AND(M78=1,E78="paid_social",OR(D78="Facebook",D78="Instagram",D78="TikTok"),OR(L78="Observed",L78="Self-reported"),O78&lt;&gt;""),1,0))</x:f>
      </x:c>
      <x:c r="O78" s="5"/>
    </x:row>
    <x:row r="79" ht="23" customHeight="1">
      <x:c r="B79" s="6"/>
      <x:c r="C79" s="5"/>
      <x:c r="D79" s="5"/>
      <x:c r="E79" s="5"/>
      <x:c r="F79" s="5"/>
      <x:c r="G79" s="5"/>
      <x:c r="H79" s="5"/>
      <x:c r="I79" s="5"/>
      <x:c r="J79" s="5"/>
      <x:c r="K79" s="5"/>
      <x:c r="L79" s="5"/>
      <x:c r="M79" s="2" t="str">
        <x:f>IF(OR(NOT(ISNUMBER(B79)),C79="",COUNTBLANK(G79:K79)&gt;0),"",IF(AND(G79="Yes",H79="Yes",I79="Yes",J79="Yes",K79="No"),IF(COUNTIFS($B$9:B79,"&gt;0",$C$9:C79,C79,$G$9:G79,"Yes",$H$9:H79,"Yes",$I$9:I79,"Yes",$J$9:J79,"Yes",$K$9:K79,"No")=1,1,0),0))</x:f>
      </x:c>
      <x:c r="N79" s="2" t="str">
        <x:f>IF(M79="","",IF(AND(M79=1,E79="paid_social",OR(D79="Facebook",D79="Instagram",D79="TikTok"),OR(L79="Observed",L79="Self-reported"),O79&lt;&gt;""),1,0))</x:f>
      </x:c>
      <x:c r="O79" s="5"/>
    </x:row>
    <x:row r="80" ht="23" customHeight="1">
      <x:c r="B80" s="6"/>
      <x:c r="C80" s="5"/>
      <x:c r="D80" s="5"/>
      <x:c r="E80" s="5"/>
      <x:c r="F80" s="5"/>
      <x:c r="G80" s="5"/>
      <x:c r="H80" s="5"/>
      <x:c r="I80" s="5"/>
      <x:c r="J80" s="5"/>
      <x:c r="K80" s="5"/>
      <x:c r="L80" s="5"/>
      <x:c r="M80" s="2" t="str">
        <x:f>IF(OR(NOT(ISNUMBER(B80)),C80="",COUNTBLANK(G80:K80)&gt;0),"",IF(AND(G80="Yes",H80="Yes",I80="Yes",J80="Yes",K80="No"),IF(COUNTIFS($B$9:B80,"&gt;0",$C$9:C80,C80,$G$9:G80,"Yes",$H$9:H80,"Yes",$I$9:I80,"Yes",$J$9:J80,"Yes",$K$9:K80,"No")=1,1,0),0))</x:f>
      </x:c>
      <x:c r="N80" s="2" t="str">
        <x:f>IF(M80="","",IF(AND(M80=1,E80="paid_social",OR(D80="Facebook",D80="Instagram",D80="TikTok"),OR(L80="Observed",L80="Self-reported"),O80&lt;&gt;""),1,0))</x:f>
      </x:c>
      <x:c r="O80" s="5"/>
    </x:row>
    <x:row r="81" ht="23" customHeight="1">
      <x:c r="B81" s="6"/>
      <x:c r="C81" s="5"/>
      <x:c r="D81" s="5"/>
      <x:c r="E81" s="5"/>
      <x:c r="F81" s="5"/>
      <x:c r="G81" s="5"/>
      <x:c r="H81" s="5"/>
      <x:c r="I81" s="5"/>
      <x:c r="J81" s="5"/>
      <x:c r="K81" s="5"/>
      <x:c r="L81" s="5"/>
      <x:c r="M81" s="2" t="str">
        <x:f>IF(OR(NOT(ISNUMBER(B81)),C81="",COUNTBLANK(G81:K81)&gt;0),"",IF(AND(G81="Yes",H81="Yes",I81="Yes",J81="Yes",K81="No"),IF(COUNTIFS($B$9:B81,"&gt;0",$C$9:C81,C81,$G$9:G81,"Yes",$H$9:H81,"Yes",$I$9:I81,"Yes",$J$9:J81,"Yes",$K$9:K81,"No")=1,1,0),0))</x:f>
      </x:c>
      <x:c r="N81" s="2" t="str">
        <x:f>IF(M81="","",IF(AND(M81=1,E81="paid_social",OR(D81="Facebook",D81="Instagram",D81="TikTok"),OR(L81="Observed",L81="Self-reported"),O81&lt;&gt;""),1,0))</x:f>
      </x:c>
      <x:c r="O81" s="5"/>
    </x:row>
    <x:row r="82" ht="23" customHeight="1">
      <x:c r="B82" s="6"/>
      <x:c r="C82" s="5"/>
      <x:c r="D82" s="5"/>
      <x:c r="E82" s="5"/>
      <x:c r="F82" s="5"/>
      <x:c r="G82" s="5"/>
      <x:c r="H82" s="5"/>
      <x:c r="I82" s="5"/>
      <x:c r="J82" s="5"/>
      <x:c r="K82" s="5"/>
      <x:c r="L82" s="5"/>
      <x:c r="M82" s="2" t="str">
        <x:f>IF(OR(NOT(ISNUMBER(B82)),C82="",COUNTBLANK(G82:K82)&gt;0),"",IF(AND(G82="Yes",H82="Yes",I82="Yes",J82="Yes",K82="No"),IF(COUNTIFS($B$9:B82,"&gt;0",$C$9:C82,C82,$G$9:G82,"Yes",$H$9:H82,"Yes",$I$9:I82,"Yes",$J$9:J82,"Yes",$K$9:K82,"No")=1,1,0),0))</x:f>
      </x:c>
      <x:c r="N82" s="2" t="str">
        <x:f>IF(M82="","",IF(AND(M82=1,E82="paid_social",OR(D82="Facebook",D82="Instagram",D82="TikTok"),OR(L82="Observed",L82="Self-reported"),O82&lt;&gt;""),1,0))</x:f>
      </x:c>
      <x:c r="O82" s="5"/>
    </x:row>
    <x:row r="83" ht="23" customHeight="1">
      <x:c r="B83" s="6"/>
      <x:c r="C83" s="5"/>
      <x:c r="D83" s="5"/>
      <x:c r="E83" s="5"/>
      <x:c r="F83" s="5"/>
      <x:c r="G83" s="5"/>
      <x:c r="H83" s="5"/>
      <x:c r="I83" s="5"/>
      <x:c r="J83" s="5"/>
      <x:c r="K83" s="5"/>
      <x:c r="L83" s="5"/>
      <x:c r="M83" s="2" t="str">
        <x:f>IF(OR(NOT(ISNUMBER(B83)),C83="",COUNTBLANK(G83:K83)&gt;0),"",IF(AND(G83="Yes",H83="Yes",I83="Yes",J83="Yes",K83="No"),IF(COUNTIFS($B$9:B83,"&gt;0",$C$9:C83,C83,$G$9:G83,"Yes",$H$9:H83,"Yes",$I$9:I83,"Yes",$J$9:J83,"Yes",$K$9:K83,"No")=1,1,0),0))</x:f>
      </x:c>
      <x:c r="N83" s="2" t="str">
        <x:f>IF(M83="","",IF(AND(M83=1,E83="paid_social",OR(D83="Facebook",D83="Instagram",D83="TikTok"),OR(L83="Observed",L83="Self-reported"),O83&lt;&gt;""),1,0))</x:f>
      </x:c>
      <x:c r="O83" s="5"/>
    </x:row>
    <x:row r="84" ht="23" customHeight="1">
      <x:c r="B84" s="6"/>
      <x:c r="C84" s="5"/>
      <x:c r="D84" s="5"/>
      <x:c r="E84" s="5"/>
      <x:c r="F84" s="5"/>
      <x:c r="G84" s="5"/>
      <x:c r="H84" s="5"/>
      <x:c r="I84" s="5"/>
      <x:c r="J84" s="5"/>
      <x:c r="K84" s="5"/>
      <x:c r="L84" s="5"/>
      <x:c r="M84" s="2" t="str">
        <x:f>IF(OR(NOT(ISNUMBER(B84)),C84="",COUNTBLANK(G84:K84)&gt;0),"",IF(AND(G84="Yes",H84="Yes",I84="Yes",J84="Yes",K84="No"),IF(COUNTIFS($B$9:B84,"&gt;0",$C$9:C84,C84,$G$9:G84,"Yes",$H$9:H84,"Yes",$I$9:I84,"Yes",$J$9:J84,"Yes",$K$9:K84,"No")=1,1,0),0))</x:f>
      </x:c>
      <x:c r="N84" s="2" t="str">
        <x:f>IF(M84="","",IF(AND(M84=1,E84="paid_social",OR(D84="Facebook",D84="Instagram",D84="TikTok"),OR(L84="Observed",L84="Self-reported"),O84&lt;&gt;""),1,0))</x:f>
      </x:c>
      <x:c r="O84" s="5"/>
    </x:row>
    <x:row r="85" ht="23" customHeight="1">
      <x:c r="B85" s="6"/>
      <x:c r="C85" s="5"/>
      <x:c r="D85" s="5"/>
      <x:c r="E85" s="5"/>
      <x:c r="F85" s="5"/>
      <x:c r="G85" s="5"/>
      <x:c r="H85" s="5"/>
      <x:c r="I85" s="5"/>
      <x:c r="J85" s="5"/>
      <x:c r="K85" s="5"/>
      <x:c r="L85" s="5"/>
      <x:c r="M85" s="2" t="str">
        <x:f>IF(OR(NOT(ISNUMBER(B85)),C85="",COUNTBLANK(G85:K85)&gt;0),"",IF(AND(G85="Yes",H85="Yes",I85="Yes",J85="Yes",K85="No"),IF(COUNTIFS($B$9:B85,"&gt;0",$C$9:C85,C85,$G$9:G85,"Yes",$H$9:H85,"Yes",$I$9:I85,"Yes",$J$9:J85,"Yes",$K$9:K85,"No")=1,1,0),0))</x:f>
      </x:c>
      <x:c r="N85" s="2" t="str">
        <x:f>IF(M85="","",IF(AND(M85=1,E85="paid_social",OR(D85="Facebook",D85="Instagram",D85="TikTok"),OR(L85="Observed",L85="Self-reported"),O85&lt;&gt;""),1,0))</x:f>
      </x:c>
      <x:c r="O85" s="5"/>
    </x:row>
    <x:row r="86" ht="23" customHeight="1">
      <x:c r="B86" s="6"/>
      <x:c r="C86" s="5"/>
      <x:c r="D86" s="5"/>
      <x:c r="E86" s="5"/>
      <x:c r="F86" s="5"/>
      <x:c r="G86" s="5"/>
      <x:c r="H86" s="5"/>
      <x:c r="I86" s="5"/>
      <x:c r="J86" s="5"/>
      <x:c r="K86" s="5"/>
      <x:c r="L86" s="5"/>
      <x:c r="M86" s="2" t="str">
        <x:f>IF(OR(NOT(ISNUMBER(B86)),C86="",COUNTBLANK(G86:K86)&gt;0),"",IF(AND(G86="Yes",H86="Yes",I86="Yes",J86="Yes",K86="No"),IF(COUNTIFS($B$9:B86,"&gt;0",$C$9:C86,C86,$G$9:G86,"Yes",$H$9:H86,"Yes",$I$9:I86,"Yes",$J$9:J86,"Yes",$K$9:K86,"No")=1,1,0),0))</x:f>
      </x:c>
      <x:c r="N86" s="2" t="str">
        <x:f>IF(M86="","",IF(AND(M86=1,E86="paid_social",OR(D86="Facebook",D86="Instagram",D86="TikTok"),OR(L86="Observed",L86="Self-reported"),O86&lt;&gt;""),1,0))</x:f>
      </x:c>
      <x:c r="O86" s="5"/>
    </x:row>
    <x:row r="87" ht="23" customHeight="1">
      <x:c r="B87" s="6"/>
      <x:c r="C87" s="5"/>
      <x:c r="D87" s="5"/>
      <x:c r="E87" s="5"/>
      <x:c r="F87" s="5"/>
      <x:c r="G87" s="5"/>
      <x:c r="H87" s="5"/>
      <x:c r="I87" s="5"/>
      <x:c r="J87" s="5"/>
      <x:c r="K87" s="5"/>
      <x:c r="L87" s="5"/>
      <x:c r="M87" s="2" t="str">
        <x:f>IF(OR(NOT(ISNUMBER(B87)),C87="",COUNTBLANK(G87:K87)&gt;0),"",IF(AND(G87="Yes",H87="Yes",I87="Yes",J87="Yes",K87="No"),IF(COUNTIFS($B$9:B87,"&gt;0",$C$9:C87,C87,$G$9:G87,"Yes",$H$9:H87,"Yes",$I$9:I87,"Yes",$J$9:J87,"Yes",$K$9:K87,"No")=1,1,0),0))</x:f>
      </x:c>
      <x:c r="N87" s="2" t="str">
        <x:f>IF(M87="","",IF(AND(M87=1,E87="paid_social",OR(D87="Facebook",D87="Instagram",D87="TikTok"),OR(L87="Observed",L87="Self-reported"),O87&lt;&gt;""),1,0))</x:f>
      </x:c>
      <x:c r="O87" s="5"/>
    </x:row>
    <x:row r="88" ht="23" customHeight="1">
      <x:c r="B88" s="6"/>
      <x:c r="C88" s="5"/>
      <x:c r="D88" s="5"/>
      <x:c r="E88" s="5"/>
      <x:c r="F88" s="5"/>
      <x:c r="G88" s="5"/>
      <x:c r="H88" s="5"/>
      <x:c r="I88" s="5"/>
      <x:c r="J88" s="5"/>
      <x:c r="K88" s="5"/>
      <x:c r="L88" s="5"/>
      <x:c r="M88" s="2" t="str">
        <x:f>IF(OR(NOT(ISNUMBER(B88)),C88="",COUNTBLANK(G88:K88)&gt;0),"",IF(AND(G88="Yes",H88="Yes",I88="Yes",J88="Yes",K88="No"),IF(COUNTIFS($B$9:B88,"&gt;0",$C$9:C88,C88,$G$9:G88,"Yes",$H$9:H88,"Yes",$I$9:I88,"Yes",$J$9:J88,"Yes",$K$9:K88,"No")=1,1,0),0))</x:f>
      </x:c>
      <x:c r="N88" s="2" t="str">
        <x:f>IF(M88="","",IF(AND(M88=1,E88="paid_social",OR(D88="Facebook",D88="Instagram",D88="TikTok"),OR(L88="Observed",L88="Self-reported"),O88&lt;&gt;""),1,0))</x:f>
      </x:c>
      <x:c r="O88" s="5"/>
    </x:row>
    <x:row r="89" ht="23" customHeight="1">
      <x:c r="B89" s="6"/>
      <x:c r="C89" s="5"/>
      <x:c r="D89" s="5"/>
      <x:c r="E89" s="5"/>
      <x:c r="F89" s="5"/>
      <x:c r="G89" s="5"/>
      <x:c r="H89" s="5"/>
      <x:c r="I89" s="5"/>
      <x:c r="J89" s="5"/>
      <x:c r="K89" s="5"/>
      <x:c r="L89" s="5"/>
      <x:c r="M89" s="2" t="str">
        <x:f>IF(OR(NOT(ISNUMBER(B89)),C89="",COUNTBLANK(G89:K89)&gt;0),"",IF(AND(G89="Yes",H89="Yes",I89="Yes",J89="Yes",K89="No"),IF(COUNTIFS($B$9:B89,"&gt;0",$C$9:C89,C89,$G$9:G89,"Yes",$H$9:H89,"Yes",$I$9:I89,"Yes",$J$9:J89,"Yes",$K$9:K89,"No")=1,1,0),0))</x:f>
      </x:c>
      <x:c r="N89" s="2" t="str">
        <x:f>IF(M89="","",IF(AND(M89=1,E89="paid_social",OR(D89="Facebook",D89="Instagram",D89="TikTok"),OR(L89="Observed",L89="Self-reported"),O89&lt;&gt;""),1,0))</x:f>
      </x:c>
      <x:c r="O89" s="5"/>
    </x:row>
    <x:row r="90" ht="23" customHeight="1">
      <x:c r="B90" s="6"/>
      <x:c r="C90" s="5"/>
      <x:c r="D90" s="5"/>
      <x:c r="E90" s="5"/>
      <x:c r="F90" s="5"/>
      <x:c r="G90" s="5"/>
      <x:c r="H90" s="5"/>
      <x:c r="I90" s="5"/>
      <x:c r="J90" s="5"/>
      <x:c r="K90" s="5"/>
      <x:c r="L90" s="5"/>
      <x:c r="M90" s="2" t="str">
        <x:f>IF(OR(NOT(ISNUMBER(B90)),C90="",COUNTBLANK(G90:K90)&gt;0),"",IF(AND(G90="Yes",H90="Yes",I90="Yes",J90="Yes",K90="No"),IF(COUNTIFS($B$9:B90,"&gt;0",$C$9:C90,C90,$G$9:G90,"Yes",$H$9:H90,"Yes",$I$9:I90,"Yes",$J$9:J90,"Yes",$K$9:K90,"No")=1,1,0),0))</x:f>
      </x:c>
      <x:c r="N90" s="2" t="str">
        <x:f>IF(M90="","",IF(AND(M90=1,E90="paid_social",OR(D90="Facebook",D90="Instagram",D90="TikTok"),OR(L90="Observed",L90="Self-reported"),O90&lt;&gt;""),1,0))</x:f>
      </x:c>
      <x:c r="O90" s="5"/>
    </x:row>
    <x:row r="91" ht="23" customHeight="1">
      <x:c r="B91" s="6"/>
      <x:c r="C91" s="5"/>
      <x:c r="D91" s="5"/>
      <x:c r="E91" s="5"/>
      <x:c r="F91" s="5"/>
      <x:c r="G91" s="5"/>
      <x:c r="H91" s="5"/>
      <x:c r="I91" s="5"/>
      <x:c r="J91" s="5"/>
      <x:c r="K91" s="5"/>
      <x:c r="L91" s="5"/>
      <x:c r="M91" s="2" t="str">
        <x:f>IF(OR(NOT(ISNUMBER(B91)),C91="",COUNTBLANK(G91:K91)&gt;0),"",IF(AND(G91="Yes",H91="Yes",I91="Yes",J91="Yes",K91="No"),IF(COUNTIFS($B$9:B91,"&gt;0",$C$9:C91,C91,$G$9:G91,"Yes",$H$9:H91,"Yes",$I$9:I91,"Yes",$J$9:J91,"Yes",$K$9:K91,"No")=1,1,0),0))</x:f>
      </x:c>
      <x:c r="N91" s="2" t="str">
        <x:f>IF(M91="","",IF(AND(M91=1,E91="paid_social",OR(D91="Facebook",D91="Instagram",D91="TikTok"),OR(L91="Observed",L91="Self-reported"),O91&lt;&gt;""),1,0))</x:f>
      </x:c>
      <x:c r="O91" s="5"/>
    </x:row>
    <x:row r="92" ht="23" customHeight="1">
      <x:c r="B92" s="6"/>
      <x:c r="C92" s="5"/>
      <x:c r="D92" s="5"/>
      <x:c r="E92" s="5"/>
      <x:c r="F92" s="5"/>
      <x:c r="G92" s="5"/>
      <x:c r="H92" s="5"/>
      <x:c r="I92" s="5"/>
      <x:c r="J92" s="5"/>
      <x:c r="K92" s="5"/>
      <x:c r="L92" s="5"/>
      <x:c r="M92" s="2" t="str">
        <x:f>IF(OR(NOT(ISNUMBER(B92)),C92="",COUNTBLANK(G92:K92)&gt;0),"",IF(AND(G92="Yes",H92="Yes",I92="Yes",J92="Yes",K92="No"),IF(COUNTIFS($B$9:B92,"&gt;0",$C$9:C92,C92,$G$9:G92,"Yes",$H$9:H92,"Yes",$I$9:I92,"Yes",$J$9:J92,"Yes",$K$9:K92,"No")=1,1,0),0))</x:f>
      </x:c>
      <x:c r="N92" s="2" t="str">
        <x:f>IF(M92="","",IF(AND(M92=1,E92="paid_social",OR(D92="Facebook",D92="Instagram",D92="TikTok"),OR(L92="Observed",L92="Self-reported"),O92&lt;&gt;""),1,0))</x:f>
      </x:c>
      <x:c r="O92" s="5"/>
    </x:row>
    <x:row r="93" ht="23" customHeight="1">
      <x:c r="B93" s="6"/>
      <x:c r="C93" s="5"/>
      <x:c r="D93" s="5"/>
      <x:c r="E93" s="5"/>
      <x:c r="F93" s="5"/>
      <x:c r="G93" s="5"/>
      <x:c r="H93" s="5"/>
      <x:c r="I93" s="5"/>
      <x:c r="J93" s="5"/>
      <x:c r="K93" s="5"/>
      <x:c r="L93" s="5"/>
      <x:c r="M93" s="2" t="str">
        <x:f>IF(OR(NOT(ISNUMBER(B93)),C93="",COUNTBLANK(G93:K93)&gt;0),"",IF(AND(G93="Yes",H93="Yes",I93="Yes",J93="Yes",K93="No"),IF(COUNTIFS($B$9:B93,"&gt;0",$C$9:C93,C93,$G$9:G93,"Yes",$H$9:H93,"Yes",$I$9:I93,"Yes",$J$9:J93,"Yes",$K$9:K93,"No")=1,1,0),0))</x:f>
      </x:c>
      <x:c r="N93" s="2" t="str">
        <x:f>IF(M93="","",IF(AND(M93=1,E93="paid_social",OR(D93="Facebook",D93="Instagram",D93="TikTok"),OR(L93="Observed",L93="Self-reported"),O93&lt;&gt;""),1,0))</x:f>
      </x:c>
      <x:c r="O93" s="5"/>
    </x:row>
    <x:row r="94" ht="23" customHeight="1">
      <x:c r="B94" s="6"/>
      <x:c r="C94" s="5"/>
      <x:c r="D94" s="5"/>
      <x:c r="E94" s="5"/>
      <x:c r="F94" s="5"/>
      <x:c r="G94" s="5"/>
      <x:c r="H94" s="5"/>
      <x:c r="I94" s="5"/>
      <x:c r="J94" s="5"/>
      <x:c r="K94" s="5"/>
      <x:c r="L94" s="5"/>
      <x:c r="M94" s="2" t="str">
        <x:f>IF(OR(NOT(ISNUMBER(B94)),C94="",COUNTBLANK(G94:K94)&gt;0),"",IF(AND(G94="Yes",H94="Yes",I94="Yes",J94="Yes",K94="No"),IF(COUNTIFS($B$9:B94,"&gt;0",$C$9:C94,C94,$G$9:G94,"Yes",$H$9:H94,"Yes",$I$9:I94,"Yes",$J$9:J94,"Yes",$K$9:K94,"No")=1,1,0),0))</x:f>
      </x:c>
      <x:c r="N94" s="2" t="str">
        <x:f>IF(M94="","",IF(AND(M94=1,E94="paid_social",OR(D94="Facebook",D94="Instagram",D94="TikTok"),OR(L94="Observed",L94="Self-reported"),O94&lt;&gt;""),1,0))</x:f>
      </x:c>
      <x:c r="O94" s="5"/>
    </x:row>
    <x:row r="95" ht="23" customHeight="1">
      <x:c r="B95" s="6"/>
      <x:c r="C95" s="5"/>
      <x:c r="D95" s="5"/>
      <x:c r="E95" s="5"/>
      <x:c r="F95" s="5"/>
      <x:c r="G95" s="5"/>
      <x:c r="H95" s="5"/>
      <x:c r="I95" s="5"/>
      <x:c r="J95" s="5"/>
      <x:c r="K95" s="5"/>
      <x:c r="L95" s="5"/>
      <x:c r="M95" s="2" t="str">
        <x:f>IF(OR(NOT(ISNUMBER(B95)),C95="",COUNTBLANK(G95:K95)&gt;0),"",IF(AND(G95="Yes",H95="Yes",I95="Yes",J95="Yes",K95="No"),IF(COUNTIFS($B$9:B95,"&gt;0",$C$9:C95,C95,$G$9:G95,"Yes",$H$9:H95,"Yes",$I$9:I95,"Yes",$J$9:J95,"Yes",$K$9:K95,"No")=1,1,0),0))</x:f>
      </x:c>
      <x:c r="N95" s="2" t="str">
        <x:f>IF(M95="","",IF(AND(M95=1,E95="paid_social",OR(D95="Facebook",D95="Instagram",D95="TikTok"),OR(L95="Observed",L95="Self-reported"),O95&lt;&gt;""),1,0))</x:f>
      </x:c>
      <x:c r="O95" s="5"/>
    </x:row>
    <x:row r="96" ht="23" customHeight="1">
      <x:c r="B96" s="6"/>
      <x:c r="C96" s="5"/>
      <x:c r="D96" s="5"/>
      <x:c r="E96" s="5"/>
      <x:c r="F96" s="5"/>
      <x:c r="G96" s="5"/>
      <x:c r="H96" s="5"/>
      <x:c r="I96" s="5"/>
      <x:c r="J96" s="5"/>
      <x:c r="K96" s="5"/>
      <x:c r="L96" s="5"/>
      <x:c r="M96" s="2" t="str">
        <x:f>IF(OR(NOT(ISNUMBER(B96)),C96="",COUNTBLANK(G96:K96)&gt;0),"",IF(AND(G96="Yes",H96="Yes",I96="Yes",J96="Yes",K96="No"),IF(COUNTIFS($B$9:B96,"&gt;0",$C$9:C96,C96,$G$9:G96,"Yes",$H$9:H96,"Yes",$I$9:I96,"Yes",$J$9:J96,"Yes",$K$9:K96,"No")=1,1,0),0))</x:f>
      </x:c>
      <x:c r="N96" s="2" t="str">
        <x:f>IF(M96="","",IF(AND(M96=1,E96="paid_social",OR(D96="Facebook",D96="Instagram",D96="TikTok"),OR(L96="Observed",L96="Self-reported"),O96&lt;&gt;""),1,0))</x:f>
      </x:c>
      <x:c r="O96" s="5"/>
    </x:row>
    <x:row r="97" ht="23" customHeight="1">
      <x:c r="B97" s="6"/>
      <x:c r="C97" s="5"/>
      <x:c r="D97" s="5"/>
      <x:c r="E97" s="5"/>
      <x:c r="F97" s="5"/>
      <x:c r="G97" s="5"/>
      <x:c r="H97" s="5"/>
      <x:c r="I97" s="5"/>
      <x:c r="J97" s="5"/>
      <x:c r="K97" s="5"/>
      <x:c r="L97" s="5"/>
      <x:c r="M97" s="2" t="str">
        <x:f>IF(OR(NOT(ISNUMBER(B97)),C97="",COUNTBLANK(G97:K97)&gt;0),"",IF(AND(G97="Yes",H97="Yes",I97="Yes",J97="Yes",K97="No"),IF(COUNTIFS($B$9:B97,"&gt;0",$C$9:C97,C97,$G$9:G97,"Yes",$H$9:H97,"Yes",$I$9:I97,"Yes",$J$9:J97,"Yes",$K$9:K97,"No")=1,1,0),0))</x:f>
      </x:c>
      <x:c r="N97" s="2" t="str">
        <x:f>IF(M97="","",IF(AND(M97=1,E97="paid_social",OR(D97="Facebook",D97="Instagram",D97="TikTok"),OR(L97="Observed",L97="Self-reported"),O97&lt;&gt;""),1,0))</x:f>
      </x:c>
      <x:c r="O97" s="5"/>
    </x:row>
    <x:row r="98" ht="23" customHeight="1">
      <x:c r="B98" s="6"/>
      <x:c r="C98" s="5"/>
      <x:c r="D98" s="5"/>
      <x:c r="E98" s="5"/>
      <x:c r="F98" s="5"/>
      <x:c r="G98" s="5"/>
      <x:c r="H98" s="5"/>
      <x:c r="I98" s="5"/>
      <x:c r="J98" s="5"/>
      <x:c r="K98" s="5"/>
      <x:c r="L98" s="5"/>
      <x:c r="M98" s="2" t="str">
        <x:f>IF(OR(NOT(ISNUMBER(B98)),C98="",COUNTBLANK(G98:K98)&gt;0),"",IF(AND(G98="Yes",H98="Yes",I98="Yes",J98="Yes",K98="No"),IF(COUNTIFS($B$9:B98,"&gt;0",$C$9:C98,C98,$G$9:G98,"Yes",$H$9:H98,"Yes",$I$9:I98,"Yes",$J$9:J98,"Yes",$K$9:K98,"No")=1,1,0),0))</x:f>
      </x:c>
      <x:c r="N98" s="2" t="str">
        <x:f>IF(M98="","",IF(AND(M98=1,E98="paid_social",OR(D98="Facebook",D98="Instagram",D98="TikTok"),OR(L98="Observed",L98="Self-reported"),O98&lt;&gt;""),1,0))</x:f>
      </x:c>
      <x:c r="O98" s="5"/>
    </x:row>
    <x:row r="99" ht="23" customHeight="1">
      <x:c r="B99" s="6"/>
      <x:c r="C99" s="5"/>
      <x:c r="D99" s="5"/>
      <x:c r="E99" s="5"/>
      <x:c r="F99" s="5"/>
      <x:c r="G99" s="5"/>
      <x:c r="H99" s="5"/>
      <x:c r="I99" s="5"/>
      <x:c r="J99" s="5"/>
      <x:c r="K99" s="5"/>
      <x:c r="L99" s="5"/>
      <x:c r="M99" s="2" t="str">
        <x:f>IF(OR(NOT(ISNUMBER(B99)),C99="",COUNTBLANK(G99:K99)&gt;0),"",IF(AND(G99="Yes",H99="Yes",I99="Yes",J99="Yes",K99="No"),IF(COUNTIFS($B$9:B99,"&gt;0",$C$9:C99,C99,$G$9:G99,"Yes",$H$9:H99,"Yes",$I$9:I99,"Yes",$J$9:J99,"Yes",$K$9:K99,"No")=1,1,0),0))</x:f>
      </x:c>
      <x:c r="N99" s="2" t="str">
        <x:f>IF(M99="","",IF(AND(M99=1,E99="paid_social",OR(D99="Facebook",D99="Instagram",D99="TikTok"),OR(L99="Observed",L99="Self-reported"),O99&lt;&gt;""),1,0))</x:f>
      </x:c>
      <x:c r="O99" s="5"/>
    </x:row>
    <x:row r="100" ht="23" customHeight="1">
      <x:c r="B100" s="6"/>
      <x:c r="C100" s="5"/>
      <x:c r="D100" s="5"/>
      <x:c r="E100" s="5"/>
      <x:c r="F100" s="5"/>
      <x:c r="G100" s="5"/>
      <x:c r="H100" s="5"/>
      <x:c r="I100" s="5"/>
      <x:c r="J100" s="5"/>
      <x:c r="K100" s="5"/>
      <x:c r="L100" s="5"/>
      <x:c r="M100" s="2" t="str">
        <x:f>IF(OR(NOT(ISNUMBER(B100)),C100="",COUNTBLANK(G100:K100)&gt;0),"",IF(AND(G100="Yes",H100="Yes",I100="Yes",J100="Yes",K100="No"),IF(COUNTIFS($B$9:B100,"&gt;0",$C$9:C100,C100,$G$9:G100,"Yes",$H$9:H100,"Yes",$I$9:I100,"Yes",$J$9:J100,"Yes",$K$9:K100,"No")=1,1,0),0))</x:f>
      </x:c>
      <x:c r="N100" s="2" t="str">
        <x:f>IF(M100="","",IF(AND(M100=1,E100="paid_social",OR(D100="Facebook",D100="Instagram",D100="TikTok"),OR(L100="Observed",L100="Self-reported"),O100&lt;&gt;""),1,0))</x:f>
      </x:c>
      <x:c r="O100" s="5"/>
    </x:row>
    <x:row r="101" ht="23" customHeight="1">
      <x:c r="B101" s="6"/>
      <x:c r="C101" s="5"/>
      <x:c r="D101" s="5"/>
      <x:c r="E101" s="5"/>
      <x:c r="F101" s="5"/>
      <x:c r="G101" s="5"/>
      <x:c r="H101" s="5"/>
      <x:c r="I101" s="5"/>
      <x:c r="J101" s="5"/>
      <x:c r="K101" s="5"/>
      <x:c r="L101" s="5"/>
      <x:c r="M101" s="2" t="str">
        <x:f>IF(OR(NOT(ISNUMBER(B101)),C101="",COUNTBLANK(G101:K101)&gt;0),"",IF(AND(G101="Yes",H101="Yes",I101="Yes",J101="Yes",K101="No"),IF(COUNTIFS($B$9:B101,"&gt;0",$C$9:C101,C101,$G$9:G101,"Yes",$H$9:H101,"Yes",$I$9:I101,"Yes",$J$9:J101,"Yes",$K$9:K101,"No")=1,1,0),0))</x:f>
      </x:c>
      <x:c r="N101" s="2" t="str">
        <x:f>IF(M101="","",IF(AND(M101=1,E101="paid_social",OR(D101="Facebook",D101="Instagram",D101="TikTok"),OR(L101="Observed",L101="Self-reported"),O101&lt;&gt;""),1,0))</x:f>
      </x:c>
      <x:c r="O101" s="5"/>
    </x:row>
    <x:row r="102" ht="23" customHeight="1">
      <x:c r="B102" s="6"/>
      <x:c r="C102" s="5"/>
      <x:c r="D102" s="5"/>
      <x:c r="E102" s="5"/>
      <x:c r="F102" s="5"/>
      <x:c r="G102" s="5"/>
      <x:c r="H102" s="5"/>
      <x:c r="I102" s="5"/>
      <x:c r="J102" s="5"/>
      <x:c r="K102" s="5"/>
      <x:c r="L102" s="5"/>
      <x:c r="M102" s="2" t="str">
        <x:f>IF(OR(NOT(ISNUMBER(B102)),C102="",COUNTBLANK(G102:K102)&gt;0),"",IF(AND(G102="Yes",H102="Yes",I102="Yes",J102="Yes",K102="No"),IF(COUNTIFS($B$9:B102,"&gt;0",$C$9:C102,C102,$G$9:G102,"Yes",$H$9:H102,"Yes",$I$9:I102,"Yes",$J$9:J102,"Yes",$K$9:K102,"No")=1,1,0),0))</x:f>
      </x:c>
      <x:c r="N102" s="2" t="str">
        <x:f>IF(M102="","",IF(AND(M102=1,E102="paid_social",OR(D102="Facebook",D102="Instagram",D102="TikTok"),OR(L102="Observed",L102="Self-reported"),O102&lt;&gt;""),1,0))</x:f>
      </x:c>
      <x:c r="O102" s="5"/>
    </x:row>
    <x:row r="103" ht="23" customHeight="1">
      <x:c r="B103" s="6"/>
      <x:c r="C103" s="5"/>
      <x:c r="D103" s="5"/>
      <x:c r="E103" s="5"/>
      <x:c r="F103" s="5"/>
      <x:c r="G103" s="5"/>
      <x:c r="H103" s="5"/>
      <x:c r="I103" s="5"/>
      <x:c r="J103" s="5"/>
      <x:c r="K103" s="5"/>
      <x:c r="L103" s="5"/>
      <x:c r="M103" s="2" t="str">
        <x:f>IF(OR(NOT(ISNUMBER(B103)),C103="",COUNTBLANK(G103:K103)&gt;0),"",IF(AND(G103="Yes",H103="Yes",I103="Yes",J103="Yes",K103="No"),IF(COUNTIFS($B$9:B103,"&gt;0",$C$9:C103,C103,$G$9:G103,"Yes",$H$9:H103,"Yes",$I$9:I103,"Yes",$J$9:J103,"Yes",$K$9:K103,"No")=1,1,0),0))</x:f>
      </x:c>
      <x:c r="N103" s="2" t="str">
        <x:f>IF(M103="","",IF(AND(M103=1,E103="paid_social",OR(D103="Facebook",D103="Instagram",D103="TikTok"),OR(L103="Observed",L103="Self-reported"),O103&lt;&gt;""),1,0))</x:f>
      </x:c>
      <x:c r="O103" s="5"/>
    </x:row>
    <x:row r="104" ht="23" customHeight="1">
      <x:c r="B104" s="6"/>
      <x:c r="C104" s="5"/>
      <x:c r="D104" s="5"/>
      <x:c r="E104" s="5"/>
      <x:c r="F104" s="5"/>
      <x:c r="G104" s="5"/>
      <x:c r="H104" s="5"/>
      <x:c r="I104" s="5"/>
      <x:c r="J104" s="5"/>
      <x:c r="K104" s="5"/>
      <x:c r="L104" s="5"/>
      <x:c r="M104" s="2" t="str">
        <x:f>IF(OR(NOT(ISNUMBER(B104)),C104="",COUNTBLANK(G104:K104)&gt;0),"",IF(AND(G104="Yes",H104="Yes",I104="Yes",J104="Yes",K104="No"),IF(COUNTIFS($B$9:B104,"&gt;0",$C$9:C104,C104,$G$9:G104,"Yes",$H$9:H104,"Yes",$I$9:I104,"Yes",$J$9:J104,"Yes",$K$9:K104,"No")=1,1,0),0))</x:f>
      </x:c>
      <x:c r="N104" s="2" t="str">
        <x:f>IF(M104="","",IF(AND(M104=1,E104="paid_social",OR(D104="Facebook",D104="Instagram",D104="TikTok"),OR(L104="Observed",L104="Self-reported"),O104&lt;&gt;""),1,0))</x:f>
      </x:c>
      <x:c r="O104" s="5"/>
    </x:row>
    <x:row r="105" ht="23" customHeight="1">
      <x:c r="B105" s="6"/>
      <x:c r="C105" s="5"/>
      <x:c r="D105" s="5"/>
      <x:c r="E105" s="5"/>
      <x:c r="F105" s="5"/>
      <x:c r="G105" s="5"/>
      <x:c r="H105" s="5"/>
      <x:c r="I105" s="5"/>
      <x:c r="J105" s="5"/>
      <x:c r="K105" s="5"/>
      <x:c r="L105" s="5"/>
      <x:c r="M105" s="2" t="str">
        <x:f>IF(OR(NOT(ISNUMBER(B105)),C105="",COUNTBLANK(G105:K105)&gt;0),"",IF(AND(G105="Yes",H105="Yes",I105="Yes",J105="Yes",K105="No"),IF(COUNTIFS($B$9:B105,"&gt;0",$C$9:C105,C105,$G$9:G105,"Yes",$H$9:H105,"Yes",$I$9:I105,"Yes",$J$9:J105,"Yes",$K$9:K105,"No")=1,1,0),0))</x:f>
      </x:c>
      <x:c r="N105" s="2" t="str">
        <x:f>IF(M105="","",IF(AND(M105=1,E105="paid_social",OR(D105="Facebook",D105="Instagram",D105="TikTok"),OR(L105="Observed",L105="Self-reported"),O105&lt;&gt;""),1,0))</x:f>
      </x:c>
      <x:c r="O105" s="5"/>
    </x:row>
    <x:row r="106" ht="23" customHeight="1">
      <x:c r="B106" s="6"/>
      <x:c r="C106" s="5"/>
      <x:c r="D106" s="5"/>
      <x:c r="E106" s="5"/>
      <x:c r="F106" s="5"/>
      <x:c r="G106" s="5"/>
      <x:c r="H106" s="5"/>
      <x:c r="I106" s="5"/>
      <x:c r="J106" s="5"/>
      <x:c r="K106" s="5"/>
      <x:c r="L106" s="5"/>
      <x:c r="M106" s="2" t="str">
        <x:f>IF(OR(NOT(ISNUMBER(B106)),C106="",COUNTBLANK(G106:K106)&gt;0),"",IF(AND(G106="Yes",H106="Yes",I106="Yes",J106="Yes",K106="No"),IF(COUNTIFS($B$9:B106,"&gt;0",$C$9:C106,C106,$G$9:G106,"Yes",$H$9:H106,"Yes",$I$9:I106,"Yes",$J$9:J106,"Yes",$K$9:K106,"No")=1,1,0),0))</x:f>
      </x:c>
      <x:c r="N106" s="2" t="str">
        <x:f>IF(M106="","",IF(AND(M106=1,E106="paid_social",OR(D106="Facebook",D106="Instagram",D106="TikTok"),OR(L106="Observed",L106="Self-reported"),O106&lt;&gt;""),1,0))</x:f>
      </x:c>
      <x:c r="O106" s="5"/>
    </x:row>
    <x:row r="107" ht="23" customHeight="1">
      <x:c r="B107" s="6"/>
      <x:c r="C107" s="5"/>
      <x:c r="D107" s="5"/>
      <x:c r="E107" s="5"/>
      <x:c r="F107" s="5"/>
      <x:c r="G107" s="5"/>
      <x:c r="H107" s="5"/>
      <x:c r="I107" s="5"/>
      <x:c r="J107" s="5"/>
      <x:c r="K107" s="5"/>
      <x:c r="L107" s="5"/>
      <x:c r="M107" s="2" t="str">
        <x:f>IF(OR(NOT(ISNUMBER(B107)),C107="",COUNTBLANK(G107:K107)&gt;0),"",IF(AND(G107="Yes",H107="Yes",I107="Yes",J107="Yes",K107="No"),IF(COUNTIFS($B$9:B107,"&gt;0",$C$9:C107,C107,$G$9:G107,"Yes",$H$9:H107,"Yes",$I$9:I107,"Yes",$J$9:J107,"Yes",$K$9:K107,"No")=1,1,0),0))</x:f>
      </x:c>
      <x:c r="N107" s="2" t="str">
        <x:f>IF(M107="","",IF(AND(M107=1,E107="paid_social",OR(D107="Facebook",D107="Instagram",D107="TikTok"),OR(L107="Observed",L107="Self-reported"),O107&lt;&gt;""),1,0))</x:f>
      </x:c>
      <x:c r="O107" s="5"/>
    </x:row>
    <x:row r="108" ht="23" customHeight="1">
      <x:c r="B108" s="6"/>
      <x:c r="C108" s="5"/>
      <x:c r="D108" s="5"/>
      <x:c r="E108" s="5"/>
      <x:c r="F108" s="5"/>
      <x:c r="G108" s="5"/>
      <x:c r="H108" s="5"/>
      <x:c r="I108" s="5"/>
      <x:c r="J108" s="5"/>
      <x:c r="K108" s="5"/>
      <x:c r="L108" s="5"/>
      <x:c r="M108" s="2" t="str">
        <x:f>IF(OR(NOT(ISNUMBER(B108)),C108="",COUNTBLANK(G108:K108)&gt;0),"",IF(AND(G108="Yes",H108="Yes",I108="Yes",J108="Yes",K108="No"),IF(COUNTIFS($B$9:B108,"&gt;0",$C$9:C108,C108,$G$9:G108,"Yes",$H$9:H108,"Yes",$I$9:I108,"Yes",$J$9:J108,"Yes",$K$9:K108,"No")=1,1,0),0))</x:f>
      </x:c>
      <x:c r="N108" s="2" t="str">
        <x:f>IF(M108="","",IF(AND(M108=1,E108="paid_social",OR(D108="Facebook",D108="Instagram",D108="TikTok"),OR(L108="Observed",L108="Self-reported"),O108&lt;&gt;""),1,0))</x:f>
      </x:c>
      <x:c r="O108" s="5"/>
    </x:row>
  </x:sheetData>
  <x:dataValidations count="4">
    <x:dataValidation type="list" sqref="D9:D108">
      <x:formula1>"Facebook,Instagram,TikTok,Owner share,Unknown"</x:formula1>
    </x:dataValidation>
    <x:dataValidation type="list" sqref="E9:E108">
      <x:formula1>"organic_social,paid_social,Unknown"</x:formula1>
    </x:dataValidation>
    <x:dataValidation type="list" sqref="G9:K108">
      <x:formula1>"Yes,No"</x:formula1>
    </x:dataValidation>
    <x:dataValidation type="list" sqref="L9:L108">
      <x:formula1>"Observed,Self-reported,Unknown"</x:formula1>
    </x:dataValidation>
  </x:dataValidations>
  <x:pageMargins left="0.7" right="0.7" top="0.75" bottom="0.75" header="0.3" footer="0.3"/>
</x:worksheet>
</file>